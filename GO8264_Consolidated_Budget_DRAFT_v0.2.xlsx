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Budget" sheetId="1" state="visible" r:id="rId1"/>
    <sheet name="Eligible Expenditure Mapping" sheetId="2" state="visible" r:id="rId2"/>
    <sheet name="Co-Design Travel Detail" sheetId="3" state="visible" r:id="rId3"/>
    <sheet name="AI Areas Detail" sheetId="4" state="visible" r:id="rId4"/>
    <sheet name="Risk Management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1"/>
    </font>
    <font>
      <name val="Calibri"/>
      <b val="1"/>
      <color rgb="002F5496"/>
      <sz val="12"/>
    </font>
    <font>
      <name val="Calibri"/>
      <b val="1"/>
      <color rgb="007030A0"/>
      <sz val="14"/>
    </font>
    <font>
      <name val="Calibri"/>
      <b val="1"/>
      <color rgb="00FFFFFF"/>
      <sz val="12"/>
    </font>
    <font>
      <name val="Calibri"/>
      <i val="1"/>
      <sz val="11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i val="1"/>
      <sz val="9"/>
    </font>
  </fonts>
  <fills count="1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7030A0"/>
        <bgColor rgb="007030A0"/>
      </patternFill>
    </fill>
    <fill>
      <patternFill patternType="solid">
        <fgColor rgb="00E2D1F2"/>
        <bgColor rgb="00E2D1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2F7ED"/>
        <bgColor rgb="00F2F7ED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top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top" wrapText="1"/>
    </xf>
    <xf numFmtId="3" fontId="6" fillId="10" borderId="1" applyAlignment="1" pivotButton="0" quotePrefix="0" xfId="0">
      <alignment vertical="top" wrapText="1"/>
    </xf>
    <xf numFmtId="164" fontId="6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top" wrapText="1"/>
    </xf>
    <xf numFmtId="3" fontId="2" fillId="11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3" fontId="9" fillId="2" borderId="1" applyAlignment="1" pivotButton="0" quotePrefix="0" xfId="0">
      <alignment vertical="top" wrapText="1"/>
    </xf>
    <xf numFmtId="164" fontId="9" fillId="2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3" fontId="6" fillId="13" borderId="1" applyAlignment="1" pivotButton="0" quotePrefix="0" xfId="0">
      <alignment vertical="top" wrapText="1"/>
    </xf>
    <xf numFmtId="164" fontId="6" fillId="13" borderId="1" applyAlignment="1" pivotButton="0" quotePrefix="0" xfId="0">
      <alignment vertical="top" wrapText="1"/>
    </xf>
    <xf numFmtId="3" fontId="2" fillId="0" borderId="1" pivotButton="0" quotePrefix="0" xfId="0"/>
    <xf numFmtId="0" fontId="5" fillId="3" borderId="1" applyAlignment="1" pivotButton="0" quotePrefix="0" xfId="0">
      <alignment vertical="top" wrapText="1"/>
    </xf>
    <xf numFmtId="0" fontId="7" fillId="0" borderId="0" pivotButton="0" quotePrefix="0" xfId="0"/>
    <xf numFmtId="0" fontId="3" fillId="2" borderId="1" pivotButton="0" quotePrefix="0" xfId="0"/>
    <xf numFmtId="0" fontId="8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6" fillId="6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9" fillId="5" borderId="1" applyAlignment="1" pivotButton="0" quotePrefix="0" xfId="0">
      <alignment vertical="top" wrapText="1"/>
    </xf>
    <xf numFmtId="3" fontId="9" fillId="5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 wrapText="1"/>
    </xf>
    <xf numFmtId="0" fontId="3" fillId="5" borderId="1" pivotButton="0" quotePrefix="0" xfId="0"/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5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0" customWidth="1" min="10" max="10"/>
  </cols>
  <sheetData>
    <row r="1">
      <c r="B1" s="1" t="inlineStr">
        <is>
          <t>Consolidated Activity Budget — DEE Connect (GO8264)</t>
        </is>
      </c>
    </row>
    <row r="2">
      <c r="B2" s="2" t="inlineStr">
        <is>
          <t>Disability Peer Support and Connections Program 2026-27</t>
        </is>
      </c>
    </row>
    <row r="3">
      <c r="B3" s="3" t="inlineStr">
        <is>
          <t>UNSW Sydney ABN 57 195 873 179</t>
        </is>
      </c>
      <c r="E3" s="4" t="inlineStr">
        <is>
          <t>DEE Connect: National information hub for Development and Epileptic Encephalopathies</t>
        </is>
      </c>
    </row>
    <row r="4">
      <c r="B4" s="5" t="inlineStr">
        <is>
          <t>All figures GST Exclusive. Costs incurred between activity start (1 Jul 2027) and end (30 Jun 2032) dates only.</t>
        </is>
      </c>
    </row>
    <row r="6">
      <c r="A6" s="6" t="inlineStr">
        <is>
          <t>Ref</t>
        </is>
      </c>
      <c r="B6" s="6" t="inlineStr">
        <is>
          <t>Activity Item</t>
        </is>
      </c>
      <c r="C6" s="6" t="inlineStr">
        <is>
          <t>Notes / Basis of Estimate / Eligible Category</t>
        </is>
      </c>
      <c r="D6" s="6" t="inlineStr">
        <is>
          <t>2027/28
(GST Excl)</t>
        </is>
      </c>
      <c r="E6" s="6" t="inlineStr">
        <is>
          <t>2028/29
(GST Excl)</t>
        </is>
      </c>
      <c r="F6" s="6" t="inlineStr">
        <is>
          <t>2029/30
(GST Excl)</t>
        </is>
      </c>
      <c r="G6" s="6" t="inlineStr">
        <is>
          <t>2030/31
(GST Excl)</t>
        </is>
      </c>
      <c r="H6" s="6" t="inlineStr">
        <is>
          <t>2031/32
(GST Excl)</t>
        </is>
      </c>
      <c r="I6" s="6" t="inlineStr">
        <is>
          <t>Total
$ (GST Excl)</t>
        </is>
      </c>
      <c r="J6" s="6" t="inlineStr">
        <is>
          <t>% of
Total</t>
        </is>
      </c>
    </row>
    <row r="7">
      <c r="A7" s="7" t="inlineStr">
        <is>
          <t>SECTION A — UNSW Core Program Delivery (includes national co-design)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50" customHeight="1">
      <c r="A8" s="8" t="inlineStr">
        <is>
          <t>A1</t>
        </is>
      </c>
      <c r="B8" s="9" t="inlineStr">
        <is>
          <t>Activity 1 — Program Leadership, Governance, Consumer Partnerships &amp; National Co-Design</t>
        </is>
      </c>
      <c r="C8" s="9" t="inlineStr">
        <is>
          <t>Core project team, consortium governance, consumer partnerships, First Nations engagement, AND national co-design travel across all 8 states/territories. See sub-items below.</t>
        </is>
      </c>
      <c r="D8" s="10">
        <f>SUM(D9:D15)</f>
        <v/>
      </c>
      <c r="E8" s="10">
        <f>SUM(E9:E15)</f>
        <v/>
      </c>
      <c r="F8" s="10">
        <f>SUM(F9:F15)</f>
        <v/>
      </c>
      <c r="G8" s="10">
        <f>SUM(G9:G15)</f>
        <v/>
      </c>
      <c r="H8" s="10">
        <f>SUM(H9:H15)</f>
        <v/>
      </c>
      <c r="I8" s="10">
        <f>SUM(I9:I15)</f>
        <v/>
      </c>
      <c r="J8" s="11">
        <f>I8/I$47</f>
        <v/>
      </c>
    </row>
    <row r="9" ht="55" customHeight="1">
      <c r="A9" s="12" t="inlineStr">
        <is>
          <t>A1a</t>
        </is>
      </c>
      <c r="B9" s="13" t="inlineStr">
        <is>
          <t xml:space="preserve">  Staffing, Governance &amp; Consumer Partnerships</t>
        </is>
      </c>
      <c r="C9" s="13" t="inlineStr">
        <is>
          <t>Project Coordinator (0.6 FTE, Level 6), Lived Experience Lead (0.4 FTE, Level 8), First Nations Lead (0.4 FTE, identified, Level 6), Digital Content &amp; Comms (0.2 FTE, Level 5). Consortium governance, Steering Committee, consumer advisory, First Nations partnerships. Eligible: Wages &amp; super, project admin.</t>
        </is>
      </c>
      <c r="D9" s="14" t="n">
        <v>264107</v>
      </c>
      <c r="E9" s="14" t="n">
        <v>312171</v>
      </c>
      <c r="F9" s="14" t="n">
        <v>299006</v>
      </c>
      <c r="G9" s="14" t="n">
        <v>311919</v>
      </c>
      <c r="H9" s="14" t="n">
        <v>324999</v>
      </c>
      <c r="I9" s="14">
        <f>SUM(D9:H9)</f>
        <v/>
      </c>
      <c r="J9" s="13" t="n"/>
    </row>
    <row r="10" ht="40" customHeight="1">
      <c r="A10" s="12" t="inlineStr">
        <is>
          <t>A1b</t>
        </is>
      </c>
      <c r="B10" s="13" t="inlineStr">
        <is>
          <t xml:space="preserve">  Delivery-Attributable Travel (non-co-design)</t>
        </is>
      </c>
      <c r="C10" s="13" t="inlineStr">
        <is>
          <t>Consortium meetings, partner site visits, stakeholder engagement, conference attendance. Eligible: Domestic travel &amp; accommodation.</t>
        </is>
      </c>
      <c r="D10" s="14" t="n">
        <v>20000</v>
      </c>
      <c r="E10" s="14" t="n">
        <v>30000</v>
      </c>
      <c r="F10" s="14" t="n">
        <v>25000</v>
      </c>
      <c r="G10" s="14" t="n">
        <v>26000</v>
      </c>
      <c r="H10" s="14" t="n">
        <v>27000</v>
      </c>
      <c r="I10" s="14">
        <f>SUM(D10:H10)</f>
        <v/>
      </c>
      <c r="J10" s="13" t="n"/>
    </row>
    <row r="11" ht="55" customHeight="1">
      <c r="A11" s="12" t="inlineStr">
        <is>
          <t>A1c</t>
        </is>
      </c>
      <c r="B11" s="13" t="inlineStr">
        <is>
          <t xml:space="preserve">  National Co-Design — Flights &amp; Accommodation</t>
        </is>
      </c>
      <c r="C11" s="13" t="inlineStr">
        <is>
          <t>2 people x 8 states/territories. Economy flights (SYD-MEL ~$250pp to SYD-DRW ~$600pp), accomm $150-200/night x 2 nights. Full national rounds Yr 1 &amp; 5; targeted Yrs 2-4. Eligible: Domestic travel &amp; accommodation.</t>
        </is>
      </c>
      <c r="D11" s="14" t="n">
        <v>22000</v>
      </c>
      <c r="E11" s="14" t="n">
        <v>13000</v>
      </c>
      <c r="F11" s="14" t="n">
        <v>10000</v>
      </c>
      <c r="G11" s="14" t="n">
        <v>10000</v>
      </c>
      <c r="H11" s="14" t="n">
        <v>22000</v>
      </c>
      <c r="I11" s="14">
        <f>SUM(D11:H11)</f>
        <v/>
      </c>
      <c r="J11" s="13" t="n"/>
    </row>
    <row r="12" ht="45" customHeight="1">
      <c r="A12" s="12" t="inlineStr">
        <is>
          <t>A1d</t>
        </is>
      </c>
      <c r="B12" s="13" t="inlineStr">
        <is>
          <t xml:space="preserve">  National Co-Design — Venue Hire &amp; Catering</t>
        </is>
      </c>
      <c r="C12" s="13" t="inlineStr">
        <is>
          <t>Accessible venue hire ($500-1,500/day), catering ($50/person x 10-15 participants), workshop materials, accessibility supports. Eligible: Facility hire, operational costs.</t>
        </is>
      </c>
      <c r="D12" s="14" t="n">
        <v>12000</v>
      </c>
      <c r="E12" s="14" t="n">
        <v>7500</v>
      </c>
      <c r="F12" s="14" t="n">
        <v>6000</v>
      </c>
      <c r="G12" s="14" t="n">
        <v>6000</v>
      </c>
      <c r="H12" s="14" t="n">
        <v>12000</v>
      </c>
      <c r="I12" s="14">
        <f>SUM(D12:H12)</f>
        <v/>
      </c>
      <c r="J12" s="13" t="n"/>
    </row>
    <row r="13" ht="45" customHeight="1">
      <c r="A13" s="12" t="inlineStr">
        <is>
          <t>A1e</t>
        </is>
      </c>
      <c r="B13" s="13" t="inlineStr">
        <is>
          <t xml:space="preserve">  National Co-Design — Participant Support &amp; Honoraria</t>
        </is>
      </c>
      <c r="C13" s="13" t="inlineStr">
        <is>
          <t>Participant travel subsidies ($500-1,000/session), honoraria ($50-100/person per Health Consumers NSW guidance), childcare/respite, Auslan, disability supports. Eligible: Operational costs.</t>
        </is>
      </c>
      <c r="D13" s="14" t="n">
        <v>11000</v>
      </c>
      <c r="E13" s="14" t="n">
        <v>7000</v>
      </c>
      <c r="F13" s="14" t="n">
        <v>5500</v>
      </c>
      <c r="G13" s="14" t="n">
        <v>5500</v>
      </c>
      <c r="H13" s="14" t="n">
        <v>11000</v>
      </c>
      <c r="I13" s="14">
        <f>SUM(D13:H13)</f>
        <v/>
      </c>
      <c r="J13" s="13" t="n"/>
    </row>
    <row r="14" ht="45" customHeight="1">
      <c r="A14" s="12" t="inlineStr">
        <is>
          <t>A1f</t>
        </is>
      </c>
      <c r="B14" s="13" t="inlineStr">
        <is>
          <t xml:space="preserve">  Regional, Remote &amp; First Nations On-Country Co-Design</t>
        </is>
      </c>
      <c r="C14" s="13" t="inlineStr">
        <is>
          <t>2-3 regional/remote visits per year. Additional flights/driving, accommodation, cultural protocol, Elder involvement, return visits to share outcomes. Eligible: Domestic travel, facility hire, operational costs.</t>
        </is>
      </c>
      <c r="D14" s="14" t="n">
        <v>8000</v>
      </c>
      <c r="E14" s="14" t="n">
        <v>8000</v>
      </c>
      <c r="F14" s="14" t="n">
        <v>8000</v>
      </c>
      <c r="G14" s="14" t="n">
        <v>8000</v>
      </c>
      <c r="H14" s="14" t="n">
        <v>8000</v>
      </c>
      <c r="I14" s="14">
        <f>SUM(D14:H14)</f>
        <v/>
      </c>
      <c r="J14" s="13" t="n"/>
    </row>
    <row r="16" ht="55" customHeight="1">
      <c r="A16" s="8" t="inlineStr">
        <is>
          <t>A2</t>
        </is>
      </c>
      <c r="B16" s="9" t="inlineStr">
        <is>
          <t>Activity 2 — National DEE Resource Library</t>
        </is>
      </c>
      <c r="C16" s="9" t="inlineStr">
        <is>
          <t>Implementation &amp; Evaluation Lead (0.2 FTE, Academic B, from month 6), Senior Info &amp; Advice Lead (0.6 FTE, Level 6, from month 6). Evidence synthesis, clinical review, content development, KM Platform licence. Eligible: Wages &amp; super, IT software, short-term consultants.</t>
        </is>
      </c>
      <c r="D16" s="10" t="n">
        <v>63087</v>
      </c>
      <c r="E16" s="10" t="n">
        <v>168415</v>
      </c>
      <c r="F16" s="10" t="n">
        <v>161321</v>
      </c>
      <c r="G16" s="10" t="n">
        <v>170767</v>
      </c>
      <c r="H16" s="10" t="n">
        <v>179003</v>
      </c>
      <c r="I16" s="10">
        <f>SUM(D16:H16)</f>
        <v/>
      </c>
      <c r="J16" s="11">
        <f>I16/I$47</f>
        <v/>
      </c>
    </row>
    <row r="17" ht="45" customHeight="1">
      <c r="A17" s="8" t="inlineStr">
        <is>
          <t>A3</t>
        </is>
      </c>
      <c r="B17" s="9" t="inlineStr">
        <is>
          <t>Activity 3 — Information, Advice &amp; Referral Service</t>
        </is>
      </c>
      <c r="C17" s="9" t="inlineStr">
        <is>
          <t>Enquiry management platform, accessibility supports, interpreter services. Staff delivered via Activity 1 &amp; 2 roles. Eligible: IT software, operational costs.</t>
        </is>
      </c>
      <c r="D17" s="10" t="n">
        <v>15000</v>
      </c>
      <c r="E17" s="10" t="n">
        <v>6000</v>
      </c>
      <c r="F17" s="10" t="n">
        <v>6000</v>
      </c>
      <c r="G17" s="10" t="n">
        <v>6000</v>
      </c>
      <c r="H17" s="10" t="n">
        <v>6000</v>
      </c>
      <c r="I17" s="10">
        <f>SUM(D17:H17)</f>
        <v/>
      </c>
      <c r="J17" s="11">
        <f>I17/I$47</f>
        <v/>
      </c>
    </row>
    <row r="18" ht="40" customHeight="1">
      <c r="A18" s="8" t="inlineStr">
        <is>
          <t>A4</t>
        </is>
      </c>
      <c r="B18" s="9" t="inlineStr">
        <is>
          <t>Activity 4 — Accessible Resource Production</t>
        </is>
      </c>
      <c r="C18" s="9" t="inlineStr">
        <is>
          <t>Graphic design, WCAG review, Easy Read, NAATI translation, First Nations cultural adaptation, digital publishing. Eligible: Short-term consultants, operational costs.</t>
        </is>
      </c>
      <c r="D18" s="10" t="n">
        <v>0</v>
      </c>
      <c r="E18" s="10" t="n">
        <v>47000</v>
      </c>
      <c r="F18" s="10" t="n">
        <v>0</v>
      </c>
      <c r="G18" s="10" t="n">
        <v>0</v>
      </c>
      <c r="H18" s="10" t="n">
        <v>0</v>
      </c>
      <c r="I18" s="10">
        <f>SUM(D18:H18)</f>
        <v/>
      </c>
      <c r="J18" s="11">
        <f>I18/I$47</f>
        <v/>
      </c>
    </row>
    <row r="19" ht="35" customHeight="1">
      <c r="A19" s="8" t="inlineStr">
        <is>
          <t>A5</t>
        </is>
      </c>
      <c r="B19" s="9" t="inlineStr">
        <is>
          <t>Activity 5 — Education &amp; Knowledge Translation</t>
        </is>
      </c>
      <c r="C19" s="9" t="inlineStr">
        <is>
          <t>Webinar hosting, captioning, accessibility. UNSW enterprise licences utilised. Eligible: IT software, operational costs.</t>
        </is>
      </c>
      <c r="D19" s="10" t="n">
        <v>2000</v>
      </c>
      <c r="E19" s="10" t="n">
        <v>2000</v>
      </c>
      <c r="F19" s="10" t="n">
        <v>2000</v>
      </c>
      <c r="G19" s="10" t="n">
        <v>2000</v>
      </c>
      <c r="H19" s="10" t="n">
        <v>2000</v>
      </c>
      <c r="I19" s="10">
        <f>SUM(D19:H19)</f>
        <v/>
      </c>
      <c r="J19" s="11">
        <f>I19/I$47</f>
        <v/>
      </c>
    </row>
    <row r="20" ht="40" customHeight="1">
      <c r="A20" s="8" t="inlineStr">
        <is>
          <t>A6</t>
        </is>
      </c>
      <c r="B20" s="9" t="inlineStr">
        <is>
          <t>Activity 6 — Evaluation, Quality Improvement &amp; Sustainability</t>
        </is>
      </c>
      <c r="C20" s="9" t="inlineStr">
        <is>
          <t>Independent Mid-Point Review, baseline evaluation, implementation science, sustainability planning, final evaluation. Eligible: Accounting/auditing/evaluation, short-term consultants.</t>
        </is>
      </c>
      <c r="D20" s="10" t="n">
        <v>0</v>
      </c>
      <c r="E20" s="10" t="n">
        <v>0</v>
      </c>
      <c r="F20" s="10" t="n">
        <v>62402</v>
      </c>
      <c r="G20" s="10" t="n">
        <v>0</v>
      </c>
      <c r="H20" s="10" t="n">
        <v>0</v>
      </c>
      <c r="I20" s="10">
        <f>SUM(D20:H20)</f>
        <v/>
      </c>
      <c r="J20" s="11">
        <f>I20/I$47</f>
        <v/>
      </c>
    </row>
    <row r="21">
      <c r="A21" s="15" t="n"/>
      <c r="B21" s="15" t="inlineStr">
        <is>
          <t>SECTION A SUBTOTAL — UNSW Core Program (incl co-design)</t>
        </is>
      </c>
      <c r="C21" s="15" t="n"/>
      <c r="D21" s="16">
        <f>D8+D16+D17+D18+D19+D20</f>
        <v/>
      </c>
      <c r="E21" s="16">
        <f>E8+E16+E17+E18+E19+E20</f>
        <v/>
      </c>
      <c r="F21" s="16">
        <f>F8+F16+F17+F18+F19+F20</f>
        <v/>
      </c>
      <c r="G21" s="16">
        <f>G8+G16+G17+G18+G19+G20</f>
        <v/>
      </c>
      <c r="H21" s="16">
        <f>H8+H16+H17+H18+H19+H20</f>
        <v/>
      </c>
      <c r="I21" s="16">
        <f>I8+I16+I17+I18+I19+I20</f>
        <v/>
      </c>
      <c r="J21" s="17">
        <f>I21/I$47</f>
        <v/>
      </c>
    </row>
    <row r="23">
      <c r="A23" s="18" t="inlineStr">
        <is>
          <t>SECTION B — GETA Operations, Infrastructure &amp; Service Delivery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</row>
    <row r="24" ht="50" customHeight="1">
      <c r="A24" s="19" t="inlineStr">
        <is>
          <t>B1</t>
        </is>
      </c>
      <c r="B24" s="20" t="inlineStr">
        <is>
          <t>Wages &amp; Super — Webpage Manager (0.2 FTE)</t>
        </is>
      </c>
      <c r="C24" s="20" t="inlineStr">
        <is>
          <t>Part-time staff delivering Activity 2 (Resource Library hosting) and Activity 3 (IAR enquiry admin). Community sector Award ~$35-40/hr + super. Eligible: Wages &amp; super.</t>
        </is>
      </c>
      <c r="D24" s="21" t="n">
        <v>20000</v>
      </c>
      <c r="E24" s="21" t="n">
        <v>20500</v>
      </c>
      <c r="F24" s="21" t="n">
        <v>21000</v>
      </c>
      <c r="G24" s="21" t="n">
        <v>21500</v>
      </c>
      <c r="H24" s="21" t="n">
        <v>22000</v>
      </c>
      <c r="I24" s="21">
        <f>SUM(D24:H24)</f>
        <v/>
      </c>
      <c r="J24" s="20" t="n"/>
    </row>
    <row r="25" ht="50" customHeight="1">
      <c r="A25" s="19" t="inlineStr">
        <is>
          <t>B2</t>
        </is>
      </c>
      <c r="B25" s="20" t="inlineStr">
        <is>
          <t>Wages &amp; Super — Peer Connector Stipends</t>
        </is>
      </c>
      <c r="C25" s="20" t="inlineStr">
        <is>
          <t>Sessional lived-experience peer connectors delivering Activity 3 (IAR). Honoraria per Health Consumers NSW guidance. Eligible: Wages &amp; super of contractors.</t>
        </is>
      </c>
      <c r="D25" s="21" t="n">
        <v>5000</v>
      </c>
      <c r="E25" s="21" t="n">
        <v>7500</v>
      </c>
      <c r="F25" s="21" t="n">
        <v>7500</v>
      </c>
      <c r="G25" s="21" t="n">
        <v>7500</v>
      </c>
      <c r="H25" s="21" t="n">
        <v>7500</v>
      </c>
      <c r="I25" s="21">
        <f>SUM(D25:H25)</f>
        <v/>
      </c>
      <c r="J25" s="20" t="n"/>
    </row>
    <row r="26" ht="50" customHeight="1">
      <c r="A26" s="19" t="inlineStr">
        <is>
          <t>B3</t>
        </is>
      </c>
      <c r="B26" s="20" t="inlineStr">
        <is>
          <t>IT Hardware — Laptops, Phones, Headsets, Peripherals</t>
        </is>
      </c>
      <c r="C26" s="20" t="inlineStr">
        <is>
          <t>3 laptops, 2 phones, 3 headsets, webcam, printer. Replacement Year 4. Eligible: IT hardware.</t>
        </is>
      </c>
      <c r="D26" s="21" t="n">
        <v>7000</v>
      </c>
      <c r="E26" s="21" t="n">
        <v>0</v>
      </c>
      <c r="F26" s="21" t="n">
        <v>0</v>
      </c>
      <c r="G26" s="21" t="n">
        <v>5000</v>
      </c>
      <c r="H26" s="21" t="n">
        <v>0</v>
      </c>
      <c r="I26" s="21">
        <f>SUM(D26:H26)</f>
        <v/>
      </c>
      <c r="J26" s="20" t="n"/>
    </row>
    <row r="27" ht="50" customHeight="1">
      <c r="A27" s="19" t="inlineStr">
        <is>
          <t>B4</t>
        </is>
      </c>
      <c r="B27" s="20" t="inlineStr">
        <is>
          <t>IT Software &amp; Services</t>
        </is>
      </c>
      <c r="C27" s="20" t="inlineStr">
        <is>
          <t>Web hosting, CMS, M365, VoIP, CRM, 1800 number, cloud storage, DNS, mobile plans. Eligible: IT software.</t>
        </is>
      </c>
      <c r="D27" s="21" t="n">
        <v>12120</v>
      </c>
      <c r="E27" s="21" t="n">
        <v>8620</v>
      </c>
      <c r="F27" s="21" t="n">
        <v>8620</v>
      </c>
      <c r="G27" s="21" t="n">
        <v>8620</v>
      </c>
      <c r="H27" s="21" t="n">
        <v>8620</v>
      </c>
      <c r="I27" s="21">
        <f>SUM(D27:H27)</f>
        <v/>
      </c>
      <c r="J27" s="20" t="n"/>
    </row>
    <row r="28" ht="50" customHeight="1">
      <c r="A28" s="19" t="inlineStr">
        <is>
          <t>B5</t>
        </is>
      </c>
      <c r="B28" s="20" t="inlineStr">
        <is>
          <t>IT Support &amp; Cybersecurity</t>
        </is>
      </c>
      <c r="C28" s="20" t="inlineStr">
        <is>
          <t>Managed IT support ($400/mth), MFA/endpoint protection, IT policy (Yr 1). Eligible: IT software, project admin.</t>
        </is>
      </c>
      <c r="D28" s="21" t="n">
        <v>8000</v>
      </c>
      <c r="E28" s="21" t="n">
        <v>6000</v>
      </c>
      <c r="F28" s="21" t="n">
        <v>6000</v>
      </c>
      <c r="G28" s="21" t="n">
        <v>6000</v>
      </c>
      <c r="H28" s="21" t="n">
        <v>6000</v>
      </c>
      <c r="I28" s="21">
        <f>SUM(D28:H28)</f>
        <v/>
      </c>
      <c r="J28" s="20" t="n"/>
    </row>
    <row r="29" ht="50" customHeight="1">
      <c r="A29" s="19" t="inlineStr">
        <is>
          <t>B6</t>
        </is>
      </c>
      <c r="B29" s="20" t="inlineStr">
        <is>
          <t>Website &amp; Resource Library Build</t>
        </is>
      </c>
      <c r="C29" s="20" t="inlineStr">
        <is>
          <t>Resource library section build ($8k), WCAG accessibility audit ($4k initial, $2k/yr). Eligible: IT software, accounting/evaluation.</t>
        </is>
      </c>
      <c r="D29" s="21" t="n">
        <v>12000</v>
      </c>
      <c r="E29" s="21" t="n">
        <v>2000</v>
      </c>
      <c r="F29" s="21" t="n">
        <v>2000</v>
      </c>
      <c r="G29" s="21" t="n">
        <v>2000</v>
      </c>
      <c r="H29" s="21" t="n">
        <v>2000</v>
      </c>
      <c r="I29" s="21">
        <f>SUM(D29:H29)</f>
        <v/>
      </c>
      <c r="J29" s="20" t="n"/>
    </row>
    <row r="30" ht="50" customHeight="1">
      <c r="A30" s="19" t="inlineStr">
        <is>
          <t>B7</t>
        </is>
      </c>
      <c r="B30" s="20" t="inlineStr">
        <is>
          <t>Insurance — Public Liability, Professional Indemnity, Cyber</t>
        </is>
      </c>
      <c r="C30" s="20" t="inlineStr">
        <is>
          <t>PL ($1,500/yr), PI ($1,500/yr), cyber ($750/yr). Eligible: Insurance.</t>
        </is>
      </c>
      <c r="D30" s="21" t="n">
        <v>3750</v>
      </c>
      <c r="E30" s="21" t="n">
        <v>3750</v>
      </c>
      <c r="F30" s="21" t="n">
        <v>3750</v>
      </c>
      <c r="G30" s="21" t="n">
        <v>3750</v>
      </c>
      <c r="H30" s="21" t="n">
        <v>3750</v>
      </c>
      <c r="I30" s="21">
        <f>SUM(D30:H30)</f>
        <v/>
      </c>
      <c r="J30" s="20" t="n"/>
    </row>
    <row r="31" ht="50" customHeight="1">
      <c r="A31" s="19" t="inlineStr">
        <is>
          <t>B8</t>
        </is>
      </c>
      <c r="B31" s="20" t="inlineStr">
        <is>
          <t>Accounting, Bookkeeping &amp; Audit</t>
        </is>
      </c>
      <c r="C31" s="20" t="inlineStr">
        <is>
          <t>Outsourced bookkeeping ($3,500/yr), financial statements, grant acquittal. Eligible: Accounting, auditing &amp; evaluation.</t>
        </is>
      </c>
      <c r="D31" s="21" t="n">
        <v>4000</v>
      </c>
      <c r="E31" s="21" t="n">
        <v>4000</v>
      </c>
      <c r="F31" s="21" t="n">
        <v>4000</v>
      </c>
      <c r="G31" s="21" t="n">
        <v>4000</v>
      </c>
      <c r="H31" s="21" t="n">
        <v>4000</v>
      </c>
      <c r="I31" s="21">
        <f>SUM(D31:H31)</f>
        <v/>
      </c>
      <c r="J31" s="20" t="n"/>
    </row>
    <row r="32" ht="50" customHeight="1">
      <c r="A32" s="19" t="inlineStr">
        <is>
          <t>B9</t>
        </is>
      </c>
      <c r="B32" s="20" t="inlineStr">
        <is>
          <t>Operational Costs — Interpreter, Postage, Printing, Utilities</t>
        </is>
      </c>
      <c r="C32" s="20" t="inlineStr">
        <is>
          <t>Interpreter ($3k/yr), postage ($300), printing ($500), internet ($600), utilities ($500). Eligible: Operational costs, utilities, postage.</t>
        </is>
      </c>
      <c r="D32" s="21" t="n">
        <v>4900</v>
      </c>
      <c r="E32" s="21" t="n">
        <v>4900</v>
      </c>
      <c r="F32" s="21" t="n">
        <v>4900</v>
      </c>
      <c r="G32" s="21" t="n">
        <v>4900</v>
      </c>
      <c r="H32" s="21" t="n">
        <v>4900</v>
      </c>
      <c r="I32" s="21">
        <f>SUM(D32:H32)</f>
        <v/>
      </c>
      <c r="J32" s="20" t="n"/>
    </row>
    <row r="33" ht="50" customHeight="1">
      <c r="A33" s="19" t="inlineStr">
        <is>
          <t>B10</t>
        </is>
      </c>
      <c r="B33" s="20" t="inlineStr">
        <is>
          <t>Project Administration &amp; Legal</t>
        </is>
      </c>
      <c r="C33" s="20" t="inlineStr">
        <is>
          <t>Governance/incorporation fees ($750/yr), privacy/legal review ($2k/yr). Eligible: Project-related administration.</t>
        </is>
      </c>
      <c r="D33" s="21" t="n">
        <v>2750</v>
      </c>
      <c r="E33" s="21" t="n">
        <v>2750</v>
      </c>
      <c r="F33" s="21" t="n">
        <v>2750</v>
      </c>
      <c r="G33" s="21" t="n">
        <v>2750</v>
      </c>
      <c r="H33" s="21" t="n">
        <v>2750</v>
      </c>
      <c r="I33" s="21">
        <f>SUM(D33:H33)</f>
        <v/>
      </c>
      <c r="J33" s="20" t="n"/>
    </row>
    <row r="34" ht="50" customHeight="1">
      <c r="A34" s="19" t="inlineStr">
        <is>
          <t>B11</t>
        </is>
      </c>
      <c r="B34" s="20" t="inlineStr">
        <is>
          <t>Staff &amp; Volunteer Training</t>
        </is>
      </c>
      <c r="C34" s="20" t="inlineStr">
        <is>
          <t>Safeguarding, MHFA, cultural safety, disability awareness, CRM training. Eligible: Short-term consultants for skilling.</t>
        </is>
      </c>
      <c r="D34" s="21" t="n">
        <v>3000</v>
      </c>
      <c r="E34" s="21" t="n">
        <v>2500</v>
      </c>
      <c r="F34" s="21" t="n">
        <v>2500</v>
      </c>
      <c r="G34" s="21" t="n">
        <v>2500</v>
      </c>
      <c r="H34" s="21" t="n">
        <v>2500</v>
      </c>
      <c r="I34" s="21">
        <f>SUM(D34:H34)</f>
        <v/>
      </c>
      <c r="J34" s="20" t="n"/>
    </row>
    <row r="35">
      <c r="A35" s="15" t="n"/>
      <c r="B35" s="15" t="inlineStr">
        <is>
          <t>SECTION B SUBTOTAL — GETA Operations</t>
        </is>
      </c>
      <c r="C35" s="15" t="n"/>
      <c r="D35" s="16">
        <f>SUM(D24:D34)</f>
        <v/>
      </c>
      <c r="E35" s="16">
        <f>SUM(E24:E34)</f>
        <v/>
      </c>
      <c r="F35" s="16">
        <f>SUM(F24:F34)</f>
        <v/>
      </c>
      <c r="G35" s="16">
        <f>SUM(G24:G34)</f>
        <v/>
      </c>
      <c r="H35" s="16">
        <f>SUM(H24:H34)</f>
        <v/>
      </c>
      <c r="I35" s="16">
        <f>SUM(I24:I34)</f>
        <v/>
      </c>
      <c r="J35" s="17">
        <f>I35/I$47</f>
        <v/>
      </c>
    </row>
    <row r="37">
      <c r="A37" s="22" t="inlineStr">
        <is>
          <t>SECTION C — AI-Enabled Infrastructure (Technology Partnership)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</row>
    <row r="38" ht="50" customHeight="1">
      <c r="A38" s="19" t="inlineStr">
        <is>
          <t>C1</t>
        </is>
      </c>
      <c r="B38" s="20" t="inlineStr">
        <is>
          <t>AI Area 1 — Library Assistant (RAG)</t>
        </is>
      </c>
      <c r="C38" s="20" t="inlineStr">
        <is>
          <t>Retrieval pipeline, secure hosting, model API, safety architecture, WCAG engineering, user testing. Eligible: IT software/hardware, short-term consultants.</t>
        </is>
      </c>
      <c r="D38" s="21" t="n">
        <v>83000</v>
      </c>
      <c r="E38" s="21" t="n">
        <v>27000</v>
      </c>
      <c r="F38" s="21" t="n">
        <v>17000</v>
      </c>
      <c r="G38" s="21" t="n">
        <v>17000</v>
      </c>
      <c r="H38" s="21" t="n">
        <v>17000</v>
      </c>
      <c r="I38" s="21">
        <f>SUM(D38:H38)</f>
        <v/>
      </c>
      <c r="J38" s="20" t="n"/>
    </row>
    <row r="39" ht="50" customHeight="1">
      <c r="A39" s="19" t="inlineStr">
        <is>
          <t>C2</t>
        </is>
      </c>
      <c r="B39" s="20" t="inlineStr">
        <is>
          <t>AI Area 2 — Enquiry Triage &amp; Drafting</t>
        </is>
      </c>
      <c r="C39" s="20" t="inlineStr">
        <is>
          <t>Classification model, draft-reply generation, platform integration, safeguarding layer. Eligible: IT software, short-term consultants.</t>
        </is>
      </c>
      <c r="D39" s="21" t="n">
        <v>53000</v>
      </c>
      <c r="E39" s="21" t="n">
        <v>16000</v>
      </c>
      <c r="F39" s="21" t="n">
        <v>4000</v>
      </c>
      <c r="G39" s="21" t="n">
        <v>4000</v>
      </c>
      <c r="H39" s="21" t="n">
        <v>4000</v>
      </c>
      <c r="I39" s="21">
        <f>SUM(D39:H39)</f>
        <v/>
      </c>
      <c r="J39" s="20" t="n"/>
    </row>
    <row r="40" ht="50" customHeight="1">
      <c r="A40" s="19" t="inlineStr">
        <is>
          <t>C3</t>
        </is>
      </c>
      <c r="B40" s="20" t="inlineStr">
        <is>
          <t>AI Area 3 — Resources in Every Format (Accessibility)</t>
        </is>
      </c>
      <c r="C40" s="20" t="inlineStr">
        <is>
          <t>Easy Read drafts, plain-language, translation pipeline, human review workflow. Eligible: IT software, short-term consultants, operational.</t>
        </is>
      </c>
      <c r="D40" s="21" t="n">
        <v>35000</v>
      </c>
      <c r="E40" s="21" t="n">
        <v>25000</v>
      </c>
      <c r="F40" s="21" t="n">
        <v>13000</v>
      </c>
      <c r="G40" s="21" t="n">
        <v>13000</v>
      </c>
      <c r="H40" s="21" t="n">
        <v>13000</v>
      </c>
      <c r="I40" s="21">
        <f>SUM(D40:H40)</f>
        <v/>
      </c>
      <c r="J40" s="20" t="n"/>
    </row>
    <row r="41" ht="50" customHeight="1">
      <c r="A41" s="19" t="inlineStr">
        <is>
          <t>C4</t>
        </is>
      </c>
      <c r="B41" s="20" t="inlineStr">
        <is>
          <t>AI Area 4 — Interactive Pathway Navigators</t>
        </is>
      </c>
      <c r="C41" s="20" t="inlineStr">
        <is>
          <t>Pathway logic engine, conversational interface, content integration, co-design testing. Eligible: IT software, short-term consultants.</t>
        </is>
      </c>
      <c r="D41" s="21" t="n">
        <v>15000</v>
      </c>
      <c r="E41" s="21" t="n">
        <v>50000</v>
      </c>
      <c r="F41" s="21" t="n">
        <v>16000</v>
      </c>
      <c r="G41" s="21" t="n">
        <v>6000</v>
      </c>
      <c r="H41" s="21" t="n">
        <v>6000</v>
      </c>
      <c r="I41" s="21">
        <f>SUM(D41:H41)</f>
        <v/>
      </c>
      <c r="J41" s="20" t="n"/>
    </row>
    <row r="42" ht="50" customHeight="1">
      <c r="A42" s="19" t="inlineStr">
        <is>
          <t>C5</t>
        </is>
      </c>
      <c r="B42" s="20" t="inlineStr">
        <is>
          <t>AI Area 5 — Content Freshness &amp; Gap Monitoring</t>
        </is>
      </c>
      <c r="C42" s="20" t="inlineStr">
        <is>
          <t>Monitoring pipeline, gap detection, alerting dashboard. The sustainability engine. Eligible: IT software, accounting/evaluation.</t>
        </is>
      </c>
      <c r="D42" s="21" t="n">
        <v>30000</v>
      </c>
      <c r="E42" s="21" t="n">
        <v>15000</v>
      </c>
      <c r="F42" s="21" t="n">
        <v>6000</v>
      </c>
      <c r="G42" s="21" t="n">
        <v>3000</v>
      </c>
      <c r="H42" s="21" t="n">
        <v>3000</v>
      </c>
      <c r="I42" s="21">
        <f>SUM(D42:H42)</f>
        <v/>
      </c>
      <c r="J42" s="20" t="n"/>
    </row>
    <row r="43" ht="50" customHeight="1">
      <c r="A43" s="19" t="inlineStr">
        <is>
          <t>C6</t>
        </is>
      </c>
      <c r="B43" s="20" t="inlineStr">
        <is>
          <t>AI Area 6 — Reporting &amp; Intelligence</t>
        </is>
      </c>
      <c r="C43" s="20" t="inlineStr">
        <is>
          <t>Analytics pipeline, reporting dashboards, national de-identified intelligence. Eligible: IT software, accounting/evaluation.</t>
        </is>
      </c>
      <c r="D43" s="21" t="n">
        <v>15000</v>
      </c>
      <c r="E43" s="21" t="n">
        <v>23000</v>
      </c>
      <c r="F43" s="21" t="n">
        <v>10000</v>
      </c>
      <c r="G43" s="21" t="n">
        <v>10000</v>
      </c>
      <c r="H43" s="21" t="n">
        <v>10000</v>
      </c>
      <c r="I43" s="21">
        <f>SUM(D43:H43)</f>
        <v/>
      </c>
      <c r="J43" s="20" t="n"/>
    </row>
    <row r="44">
      <c r="A44" s="15" t="n"/>
      <c r="B44" s="15" t="inlineStr">
        <is>
          <t>SECTION C SUBTOTAL — AI Infrastructure</t>
        </is>
      </c>
      <c r="C44" s="15" t="n"/>
      <c r="D44" s="16">
        <f>SUM(D38:D43)</f>
        <v/>
      </c>
      <c r="E44" s="16">
        <f>SUM(E38:E43)</f>
        <v/>
      </c>
      <c r="F44" s="16">
        <f>SUM(F38:F43)</f>
        <v/>
      </c>
      <c r="G44" s="16">
        <f>SUM(G38:G43)</f>
        <v/>
      </c>
      <c r="H44" s="16">
        <f>SUM(H38:H43)</f>
        <v/>
      </c>
      <c r="I44" s="16">
        <f>SUM(I38:I43)</f>
        <v/>
      </c>
      <c r="J44" s="17">
        <f>I44/I$47</f>
        <v/>
      </c>
    </row>
    <row r="46">
      <c r="A46" s="23" t="inlineStr">
        <is>
          <t>CONSOLIDATED TOTALS</t>
        </is>
      </c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</row>
    <row r="47">
      <c r="A47" s="23" t="n"/>
      <c r="B47" s="23" t="inlineStr">
        <is>
          <t>GRAND TOTAL — ALL SECTIONS</t>
        </is>
      </c>
      <c r="C47" s="23" t="n"/>
      <c r="D47" s="24">
        <f>D21+D35+D44</f>
        <v/>
      </c>
      <c r="E47" s="24">
        <f>E21+E35+E44</f>
        <v/>
      </c>
      <c r="F47" s="24">
        <f>F21+F35+F44</f>
        <v/>
      </c>
      <c r="G47" s="24">
        <f>G21+G35+G44</f>
        <v/>
      </c>
      <c r="H47" s="24">
        <f>H21+H35+H44</f>
        <v/>
      </c>
      <c r="I47" s="24">
        <f>SUM(D47:H47)</f>
        <v/>
      </c>
      <c r="J47" s="25" t="n">
        <v>1</v>
      </c>
    </row>
    <row r="48">
      <c r="A48" s="26" t="n"/>
      <c r="B48" s="26" t="inlineStr">
        <is>
          <t>Section A — UNSW Core Program (incl co-design)</t>
        </is>
      </c>
      <c r="C48" s="26" t="n"/>
      <c r="D48" s="27" t="n"/>
      <c r="E48" s="27" t="n"/>
      <c r="F48" s="27" t="n"/>
      <c r="G48" s="27" t="n"/>
      <c r="H48" s="27" t="n"/>
      <c r="I48" s="27">
        <f>I21</f>
        <v/>
      </c>
      <c r="J48" s="28">
        <f>I21/I$47</f>
        <v/>
      </c>
    </row>
    <row r="49">
      <c r="A49" s="26" t="n"/>
      <c r="B49" s="26" t="inlineStr">
        <is>
          <t>Section B — GETA Operations</t>
        </is>
      </c>
      <c r="C49" s="26" t="n"/>
      <c r="D49" s="27" t="n"/>
      <c r="E49" s="27" t="n"/>
      <c r="F49" s="27" t="n"/>
      <c r="G49" s="27" t="n"/>
      <c r="H49" s="27" t="n"/>
      <c r="I49" s="27">
        <f>I35</f>
        <v/>
      </c>
      <c r="J49" s="28">
        <f>I35/I$47</f>
        <v/>
      </c>
    </row>
    <row r="50">
      <c r="A50" s="26" t="n"/>
      <c r="B50" s="26" t="inlineStr">
        <is>
          <t>Section C — AI Infrastructure</t>
        </is>
      </c>
      <c r="C50" s="26" t="n"/>
      <c r="D50" s="27" t="n"/>
      <c r="E50" s="27" t="n"/>
      <c r="F50" s="27" t="n"/>
      <c r="G50" s="27" t="n"/>
      <c r="H50" s="27" t="n"/>
      <c r="I50" s="27">
        <f>I44</f>
        <v/>
      </c>
      <c r="J50" s="28">
        <f>I44/I$47</f>
        <v/>
      </c>
    </row>
    <row r="52">
      <c r="B52" s="4" t="inlineStr">
        <is>
          <t>Memo: Co-Design Travel Total (A1c+A1d+A1e+A1f)</t>
        </is>
      </c>
      <c r="D52" s="29">
        <f>D11+D12+D13+D14</f>
        <v/>
      </c>
      <c r="E52" s="29">
        <f>E11+E12+E13+E14</f>
        <v/>
      </c>
      <c r="F52" s="29">
        <f>F11+F12+F13+F14</f>
        <v/>
      </c>
      <c r="G52" s="29">
        <f>G11+G12+G13+G14</f>
        <v/>
      </c>
      <c r="H52" s="29">
        <f>H11+H12+H13+H14</f>
        <v/>
      </c>
      <c r="I52" s="29">
        <f>I11+I12+I13+I14</f>
        <v/>
      </c>
    </row>
  </sheetData>
  <mergeCells count="9">
    <mergeCell ref="E3:I3"/>
    <mergeCell ref="A7:I7"/>
    <mergeCell ref="B3:C3"/>
    <mergeCell ref="A37:I37"/>
    <mergeCell ref="B2:I2"/>
    <mergeCell ref="A46:I46"/>
    <mergeCell ref="A23:I23"/>
    <mergeCell ref="B1:I1"/>
    <mergeCell ref="B4:I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  <col width="15" customWidth="1" min="4" max="4"/>
    <col width="20" customWidth="1" min="5" max="5"/>
    <col width="50" customWidth="1" min="6" max="6"/>
  </cols>
  <sheetData>
    <row r="1">
      <c r="B1" s="1" t="inlineStr">
        <is>
          <t>Eligible Expenditure Category Mapping</t>
        </is>
      </c>
    </row>
    <row r="2">
      <c r="B2" s="4" t="inlineStr">
        <is>
          <t>All items mapped to GO8264 Grant Opportunity Guidelines eligible expenditure categories</t>
        </is>
      </c>
    </row>
    <row r="3"/>
    <row r="4">
      <c r="A4" s="6" t="inlineStr">
        <is>
          <t>#</t>
        </is>
      </c>
      <c r="B4" s="6" t="inlineStr">
        <is>
          <t>Eligible Category (per Guidelines)</t>
        </is>
      </c>
      <c r="C4" s="6" t="inlineStr">
        <is>
          <t>Budget Line Items</t>
        </is>
      </c>
      <c r="D4" s="6" t="inlineStr">
        <is>
          <t>Annual Est.</t>
        </is>
      </c>
      <c r="E4" s="6" t="inlineStr">
        <is>
          <t>Eligibility</t>
        </is>
      </c>
      <c r="F4" s="6" t="inlineStr">
        <is>
          <t>Evidence / Notes</t>
        </is>
      </c>
    </row>
    <row r="5" ht="45" customHeight="1">
      <c r="A5" s="20" t="inlineStr">
        <is>
          <t>1</t>
        </is>
      </c>
      <c r="B5" s="20" t="inlineStr">
        <is>
          <t>Wages &amp; superannuation of employees/contractors directly delivering</t>
        </is>
      </c>
      <c r="C5" s="20" t="inlineStr">
        <is>
          <t>B1 Webpage Manager, B2 Peer Connector stipends, A1 all UNSW staff</t>
        </is>
      </c>
      <c r="D5" s="20" t="inlineStr">
        <is>
          <t>$25-31k (GETA)
$328k (UNSW)</t>
        </is>
      </c>
      <c r="E5" s="30" t="inlineStr">
        <is>
          <t>ELIGIBLE</t>
        </is>
      </c>
      <c r="F5" s="20" t="inlineStr">
        <is>
          <t>Must be directly delivering the activity. UNSW salary scales + on-costs. Community sector Award rates.</t>
        </is>
      </c>
    </row>
    <row r="6" ht="45" customHeight="1">
      <c r="A6" s="20" t="inlineStr">
        <is>
          <t>2</t>
        </is>
      </c>
      <c r="B6" s="20" t="inlineStr">
        <is>
          <t>IT hardware and software</t>
        </is>
      </c>
      <c r="C6" s="20" t="inlineStr">
        <is>
          <t>B3 Hardware, B4 Software, B5 IT Support, B6 Website build, D1-D6 AI infrastructure</t>
        </is>
      </c>
      <c r="D6" s="20" t="inlineStr">
        <is>
          <t>$13k (GETA)
$53-231k (AI)</t>
        </is>
      </c>
      <c r="E6" s="30" t="inlineStr">
        <is>
          <t>ELIGIBLE</t>
        </is>
      </c>
      <c r="F6" s="20" t="inlineStr">
        <is>
          <t>Laptops, phones, headsets, hosting, CMS, VoIP, CRM, AI platforms, model API costs.</t>
        </is>
      </c>
    </row>
    <row r="7" ht="45" customHeight="1">
      <c r="A7" s="20" t="inlineStr">
        <is>
          <t>3</t>
        </is>
      </c>
      <c r="B7" s="20" t="inlineStr">
        <is>
          <t>Operational costs directly related to delivery (rent, printing, stationery)</t>
        </is>
      </c>
      <c r="C7" s="20" t="inlineStr">
        <is>
          <t>B9 Interpreter/postage/printing, C2 Catering, C3 Participant supports</t>
        </is>
      </c>
      <c r="D7" s="20" t="inlineStr">
        <is>
          <t>$5-13k/yr</t>
        </is>
      </c>
      <c r="E7" s="30" t="inlineStr">
        <is>
          <t>ELIGIBLE</t>
        </is>
      </c>
      <c r="F7" s="20" t="inlineStr">
        <is>
          <t>Only costs directly attributable to delivery. Home-based delivery reduces rent.</t>
        </is>
      </c>
    </row>
    <row r="8" ht="45" customHeight="1">
      <c r="A8" s="20" t="inlineStr">
        <is>
          <t>4</t>
        </is>
      </c>
      <c r="B8" s="20" t="inlineStr">
        <is>
          <t>Insurance</t>
        </is>
      </c>
      <c r="C8" s="20" t="inlineStr">
        <is>
          <t>B7 Public liability, professional indemnity, cyber</t>
        </is>
      </c>
      <c r="D8" s="20" t="inlineStr">
        <is>
          <t>$3,750/yr</t>
        </is>
      </c>
      <c r="E8" s="30" t="inlineStr">
        <is>
          <t>ELIGIBLE</t>
        </is>
      </c>
      <c r="F8" s="20" t="inlineStr">
        <is>
          <t>Essential for information/advice service to vulnerable populations.</t>
        </is>
      </c>
    </row>
    <row r="9" ht="45" customHeight="1">
      <c r="A9" s="20" t="inlineStr">
        <is>
          <t>5</t>
        </is>
      </c>
      <c r="B9" s="20" t="inlineStr">
        <is>
          <t>Utilities, including internet</t>
        </is>
      </c>
      <c r="C9" s="20" t="inlineStr">
        <is>
          <t>B9 Internet &amp; utilities (proportional)</t>
        </is>
      </c>
      <c r="D9" s="20" t="inlineStr">
        <is>
          <t>$600-1,200/yr</t>
        </is>
      </c>
      <c r="E9" s="30" t="inlineStr">
        <is>
          <t>ELIGIBLE</t>
        </is>
      </c>
      <c r="F9" s="20" t="inlineStr">
        <is>
          <t>Proportional claim if home-based. Full if office-based.</t>
        </is>
      </c>
    </row>
    <row r="10" ht="45" customHeight="1">
      <c r="A10" s="20" t="inlineStr">
        <is>
          <t>6</t>
        </is>
      </c>
      <c r="B10" s="20" t="inlineStr">
        <is>
          <t>Accounting, auditing and evaluation</t>
        </is>
      </c>
      <c r="C10" s="20" t="inlineStr">
        <is>
          <t>B8 Bookkeeping &amp; audit, B6 WCAG audit, A6 Evaluation</t>
        </is>
      </c>
      <c r="D10" s="20" t="inlineStr">
        <is>
          <t>$4-8.5k (GETA)
$62k (UNSW)</t>
        </is>
      </c>
      <c r="E10" s="30" t="inlineStr">
        <is>
          <t>ELIGIBLE</t>
        </is>
      </c>
      <c r="F10" s="20" t="inlineStr">
        <is>
          <t>Required for grant acquittal. Independent evaluations.</t>
        </is>
      </c>
    </row>
    <row r="11" ht="45" customHeight="1">
      <c r="A11" s="20" t="inlineStr">
        <is>
          <t>7</t>
        </is>
      </c>
      <c r="B11" s="20" t="inlineStr">
        <is>
          <t>Project-related administration</t>
        </is>
      </c>
      <c r="C11" s="20" t="inlineStr">
        <is>
          <t>B10 Admin &amp; legal, B5 IT policy</t>
        </is>
      </c>
      <c r="D11" s="20" t="inlineStr">
        <is>
          <t>$2,750/yr</t>
        </is>
      </c>
      <c r="E11" s="30" t="inlineStr">
        <is>
          <t>ELIGIBLE</t>
        </is>
      </c>
      <c r="F11" s="20" t="inlineStr">
        <is>
          <t>Governance fees, privacy/legal review, compliance.</t>
        </is>
      </c>
    </row>
    <row r="12" ht="45" customHeight="1">
      <c r="A12" s="20" t="inlineStr">
        <is>
          <t>8</t>
        </is>
      </c>
      <c r="B12" s="20" t="inlineStr">
        <is>
          <t>Short-term consultants for resource development or skilling</t>
        </is>
      </c>
      <c r="C12" s="20" t="inlineStr">
        <is>
          <t>B11 Training, A4 Accessible production, D1-D6 AI build consultants</t>
        </is>
      </c>
      <c r="D12" s="20" t="inlineStr">
        <is>
          <t>$2,500-3k (GETA)
$47k (UNSW)</t>
        </is>
      </c>
      <c r="E12" s="30" t="inlineStr">
        <is>
          <t>ELIGIBLE</t>
        </is>
      </c>
      <c r="F12" s="20" t="inlineStr">
        <is>
          <t>Safeguarding, cultural safety, MHFA training. AI architecture consultancy.</t>
        </is>
      </c>
    </row>
    <row r="13" ht="45" customHeight="1">
      <c r="A13" s="20" t="inlineStr">
        <is>
          <t>9</t>
        </is>
      </c>
      <c r="B13" s="20" t="inlineStr">
        <is>
          <t>Domestic travel and accommodation</t>
        </is>
      </c>
      <c r="C13" s="20" t="inlineStr">
        <is>
          <t>C1 Flights &amp; accommodation, C4 Regional/remote, A1 UNSW travel</t>
        </is>
      </c>
      <c r="D13" s="20" t="inlineStr">
        <is>
          <t>$22-53k/yr</t>
        </is>
      </c>
      <c r="E13" s="30" t="inlineStr">
        <is>
          <t>ELIGIBLE</t>
        </is>
      </c>
      <c r="F13" s="20" t="inlineStr">
        <is>
          <t>Vehicle maintenance, fuel, storage allowed. No purchase/hire-purchase.</t>
        </is>
      </c>
    </row>
    <row r="14" ht="45" customHeight="1">
      <c r="A14" s="20" t="inlineStr">
        <is>
          <t>10</t>
        </is>
      </c>
      <c r="B14" s="20" t="inlineStr">
        <is>
          <t>Facility hire</t>
        </is>
      </c>
      <c r="C14" s="20" t="inlineStr">
        <is>
          <t>C2 Venue hire for co-design workshops</t>
        </is>
      </c>
      <c r="D14" s="20" t="inlineStr">
        <is>
          <t>$6-12k/yr</t>
        </is>
      </c>
      <c r="E14" s="30" t="inlineStr">
        <is>
          <t>ELIGIBLE</t>
        </is>
      </c>
      <c r="F14" s="20" t="inlineStr">
        <is>
          <t>Accessible venues for national co-design sessions.</t>
        </is>
      </c>
    </row>
    <row r="15" ht="45" customHeight="1">
      <c r="A15" s="20" t="inlineStr">
        <is>
          <t>11</t>
        </is>
      </c>
      <c r="B15" s="20" t="inlineStr">
        <is>
          <t>Postage</t>
        </is>
      </c>
      <c r="C15" s="20" t="inlineStr">
        <is>
          <t>B9 (included in operational)</t>
        </is>
      </c>
      <c r="D15" s="20" t="inlineStr">
        <is>
          <t>$300/yr</t>
        </is>
      </c>
      <c r="E15" s="30" t="inlineStr">
        <is>
          <t>ELIGIBLE</t>
        </is>
      </c>
      <c r="F15" s="20" t="inlineStr">
        <is>
          <t>Minimal for digital-first service.</t>
        </is>
      </c>
    </row>
    <row r="16" ht="45" customHeight="1">
      <c r="A16" s="20" t="inlineStr">
        <is>
          <t>12</t>
        </is>
      </c>
      <c r="B16" s="20" t="inlineStr">
        <is>
          <t>Vehicle leases (conditional)</t>
        </is>
      </c>
      <c r="C16" s="20" t="inlineStr">
        <is>
          <t>Not budgeted</t>
        </is>
      </c>
      <c r="D16" s="20" t="inlineStr">
        <is>
          <t>$0</t>
        </is>
      </c>
      <c r="E16" s="20" t="inlineStr">
        <is>
          <t>N/A</t>
        </is>
      </c>
      <c r="F16" s="20" t="inlineStr">
        <is>
          <t>Lease only, fit for purpose, not affiliated entity, not past grant end, capped 10% or $50k. Not required for this project.</t>
        </is>
      </c>
    </row>
  </sheetData>
  <mergeCells count="2">
    <mergeCell ref="B2:F2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5" customWidth="1" min="10" max="10"/>
  </cols>
  <sheetData>
    <row r="1">
      <c r="B1" s="1" t="inlineStr">
        <is>
          <t>National Co-Design Travel — Detailed Costing</t>
        </is>
      </c>
    </row>
    <row r="2">
      <c r="B2" s="4" t="inlineStr">
        <is>
          <t>Per-destination costs for 2 travellers, 2 days (1 day workshop + 1 day travel/meetings)</t>
        </is>
      </c>
    </row>
    <row r="3"/>
    <row r="4">
      <c r="A4" s="6" t="inlineStr">
        <is>
          <t>#</t>
        </is>
      </c>
      <c r="B4" s="6" t="inlineStr">
        <is>
          <t>Destination</t>
        </is>
      </c>
      <c r="C4" s="6" t="inlineStr">
        <is>
          <t>Category</t>
        </is>
      </c>
      <c r="D4" s="6" t="inlineStr">
        <is>
          <t>Flights
(2 ppl rtn)</t>
        </is>
      </c>
      <c r="E4" s="6" t="inlineStr">
        <is>
          <t>Accomm
(2 ppl 2 nts)</t>
        </is>
      </c>
      <c r="F4" s="6" t="inlineStr">
        <is>
          <t>Per Diems
&amp; Transport</t>
        </is>
      </c>
      <c r="G4" s="6" t="inlineStr">
        <is>
          <t>Venue &amp;
Catering</t>
        </is>
      </c>
      <c r="H4" s="6" t="inlineStr">
        <is>
          <t>Participant
Costs</t>
        </is>
      </c>
      <c r="I4" s="6" t="inlineStr">
        <is>
          <t>Trip Total</t>
        </is>
      </c>
      <c r="J4" s="6" t="inlineStr">
        <is>
          <t>Notes</t>
        </is>
      </c>
    </row>
    <row r="5">
      <c r="A5" s="20" t="inlineStr">
        <is>
          <t>1</t>
        </is>
      </c>
      <c r="B5" s="20" t="inlineStr">
        <is>
          <t>Sydney (NSW)</t>
        </is>
      </c>
      <c r="C5" s="20" t="inlineStr">
        <is>
          <t>Local</t>
        </is>
      </c>
      <c r="D5" s="21" t="n">
        <v>0</v>
      </c>
      <c r="E5" s="21" t="n">
        <v>300</v>
      </c>
      <c r="F5" s="21" t="n">
        <v>200</v>
      </c>
      <c r="G5" s="21" t="n">
        <v>1000</v>
      </c>
      <c r="H5" s="21" t="n">
        <v>1000</v>
      </c>
      <c r="I5" s="21">
        <f>SUM(D5:H5)</f>
        <v/>
      </c>
      <c r="J5" s="20" t="inlineStr">
        <is>
          <t>No flights. Local venue + participants.</t>
        </is>
      </c>
    </row>
    <row r="6">
      <c r="A6" s="20" t="inlineStr">
        <is>
          <t>2</t>
        </is>
      </c>
      <c r="B6" s="20" t="inlineStr">
        <is>
          <t>Canberra (ACT)</t>
        </is>
      </c>
      <c r="C6" s="20" t="inlineStr">
        <is>
          <t>Driveable</t>
        </is>
      </c>
      <c r="D6" s="21" t="n">
        <v>0</v>
      </c>
      <c r="E6" s="21" t="n">
        <v>500</v>
      </c>
      <c r="F6" s="21" t="n">
        <v>350</v>
      </c>
      <c r="G6" s="21" t="n">
        <v>1000</v>
      </c>
      <c r="H6" s="21" t="n">
        <v>1000</v>
      </c>
      <c r="I6" s="21">
        <f>SUM(D6:H6)</f>
        <v/>
      </c>
      <c r="J6" s="20" t="inlineStr">
        <is>
          <t>Drive ~3hrs. Fuel + tolls.</t>
        </is>
      </c>
    </row>
    <row r="7">
      <c r="A7" s="20" t="inlineStr">
        <is>
          <t>3</t>
        </is>
      </c>
      <c r="B7" s="20" t="inlineStr">
        <is>
          <t>Melbourne (VIC)</t>
        </is>
      </c>
      <c r="C7" s="20" t="inlineStr">
        <is>
          <t>Interstate</t>
        </is>
      </c>
      <c r="D7" s="21" t="n">
        <v>500</v>
      </c>
      <c r="E7" s="21" t="n">
        <v>600</v>
      </c>
      <c r="F7" s="21" t="n">
        <v>300</v>
      </c>
      <c r="G7" s="21" t="n">
        <v>1000</v>
      </c>
      <c r="H7" s="21" t="n">
        <v>1200</v>
      </c>
      <c r="I7" s="21">
        <f>SUM(D7:H7)</f>
        <v/>
      </c>
      <c r="J7" s="20" t="inlineStr">
        <is>
          <t>SYD-MEL ~$250pp return.</t>
        </is>
      </c>
    </row>
    <row r="8">
      <c r="A8" s="20" t="inlineStr">
        <is>
          <t>4</t>
        </is>
      </c>
      <c r="B8" s="20" t="inlineStr">
        <is>
          <t>Brisbane (QLD)</t>
        </is>
      </c>
      <c r="C8" s="20" t="inlineStr">
        <is>
          <t>Interstate</t>
        </is>
      </c>
      <c r="D8" s="21" t="n">
        <v>600</v>
      </c>
      <c r="E8" s="21" t="n">
        <v>600</v>
      </c>
      <c r="F8" s="21" t="n">
        <v>300</v>
      </c>
      <c r="G8" s="21" t="n">
        <v>1000</v>
      </c>
      <c r="H8" s="21" t="n">
        <v>1200</v>
      </c>
      <c r="I8" s="21">
        <f>SUM(D8:H8)</f>
        <v/>
      </c>
      <c r="J8" s="20" t="inlineStr">
        <is>
          <t>SYD-BNE ~$300pp return.</t>
        </is>
      </c>
    </row>
    <row r="9">
      <c r="A9" s="20" t="inlineStr">
        <is>
          <t>5</t>
        </is>
      </c>
      <c r="B9" s="20" t="inlineStr">
        <is>
          <t>Adelaide (SA)</t>
        </is>
      </c>
      <c r="C9" s="20" t="inlineStr">
        <is>
          <t>Interstate</t>
        </is>
      </c>
      <c r="D9" s="21" t="n">
        <v>700</v>
      </c>
      <c r="E9" s="21" t="n">
        <v>650</v>
      </c>
      <c r="F9" s="21" t="n">
        <v>350</v>
      </c>
      <c r="G9" s="21" t="n">
        <v>1000</v>
      </c>
      <c r="H9" s="21" t="n">
        <v>1200</v>
      </c>
      <c r="I9" s="21">
        <f>SUM(D9:H9)</f>
        <v/>
      </c>
      <c r="J9" s="20" t="inlineStr">
        <is>
          <t>SYD-ADL ~$350pp return.</t>
        </is>
      </c>
    </row>
    <row r="10">
      <c r="A10" s="20" t="inlineStr">
        <is>
          <t>6</t>
        </is>
      </c>
      <c r="B10" s="20" t="inlineStr">
        <is>
          <t>Perth (WA)</t>
        </is>
      </c>
      <c r="C10" s="20" t="inlineStr">
        <is>
          <t>Long haul</t>
        </is>
      </c>
      <c r="D10" s="21" t="n">
        <v>1000</v>
      </c>
      <c r="E10" s="21" t="n">
        <v>700</v>
      </c>
      <c r="F10" s="21" t="n">
        <v>400</v>
      </c>
      <c r="G10" s="21" t="n">
        <v>1200</v>
      </c>
      <c r="H10" s="21" t="n">
        <v>1200</v>
      </c>
      <c r="I10" s="21">
        <f>SUM(D10:H10)</f>
        <v/>
      </c>
      <c r="J10" s="20" t="inlineStr">
        <is>
          <t>SYD-PER ~$500pp return.</t>
        </is>
      </c>
    </row>
    <row r="11">
      <c r="A11" s="20" t="inlineStr">
        <is>
          <t>7</t>
        </is>
      </c>
      <c r="B11" s="20" t="inlineStr">
        <is>
          <t>Hobart (TAS)</t>
        </is>
      </c>
      <c r="C11" s="20" t="inlineStr">
        <is>
          <t>Interstate</t>
        </is>
      </c>
      <c r="D11" s="21" t="n">
        <v>700</v>
      </c>
      <c r="E11" s="21" t="n">
        <v>650</v>
      </c>
      <c r="F11" s="21" t="n">
        <v>350</v>
      </c>
      <c r="G11" s="21" t="n">
        <v>1000</v>
      </c>
      <c r="H11" s="21" t="n">
        <v>1200</v>
      </c>
      <c r="I11" s="21">
        <f>SUM(D11:H11)</f>
        <v/>
      </c>
      <c r="J11" s="20" t="inlineStr">
        <is>
          <t>SYD-HBA ~$350pp return.</t>
        </is>
      </c>
    </row>
    <row r="12">
      <c r="A12" s="20" t="inlineStr">
        <is>
          <t>8</t>
        </is>
      </c>
      <c r="B12" s="20" t="inlineStr">
        <is>
          <t>Darwin (NT)</t>
        </is>
      </c>
      <c r="C12" s="20" t="inlineStr">
        <is>
          <t>Long haul</t>
        </is>
      </c>
      <c r="D12" s="21" t="n">
        <v>1200</v>
      </c>
      <c r="E12" s="21" t="n">
        <v>700</v>
      </c>
      <c r="F12" s="21" t="n">
        <v>400</v>
      </c>
      <c r="G12" s="21" t="n">
        <v>1200</v>
      </c>
      <c r="H12" s="21" t="n">
        <v>1200</v>
      </c>
      <c r="I12" s="21">
        <f>SUM(D12:H12)</f>
        <v/>
      </c>
      <c r="J12" s="20" t="inlineStr">
        <is>
          <t>SYD-DRW ~$600pp return.</t>
        </is>
      </c>
    </row>
    <row r="13">
      <c r="A13" s="15" t="n"/>
      <c r="B13" s="15" t="inlineStr">
        <is>
          <t>FULL NATIONAL ROUND</t>
        </is>
      </c>
      <c r="C13" s="15" t="n"/>
      <c r="D13" s="16">
        <f>SUM(D5:D12)</f>
        <v/>
      </c>
      <c r="E13" s="16">
        <f>SUM(E5:E12)</f>
        <v/>
      </c>
      <c r="F13" s="16">
        <f>SUM(F5:F12)</f>
        <v/>
      </c>
      <c r="G13" s="16">
        <f>SUM(G5:G12)</f>
        <v/>
      </c>
      <c r="H13" s="16">
        <f>SUM(H5:H12)</f>
        <v/>
      </c>
      <c r="I13" s="16">
        <f>SUM(I5:I12)</f>
        <v/>
      </c>
      <c r="J13" s="15" t="n"/>
    </row>
    <row r="14"/>
    <row r="15">
      <c r="B15" s="31" t="inlineStr">
        <is>
          <t>Co-Design Schedule by Year</t>
        </is>
      </c>
    </row>
    <row r="16">
      <c r="A16" s="32" t="n"/>
      <c r="B16" s="32" t="inlineStr">
        <is>
          <t>Year</t>
        </is>
      </c>
      <c r="C16" s="32" t="inlineStr">
        <is>
          <t>Scope</t>
        </is>
      </c>
      <c r="D16" s="32" t="inlineStr">
        <is>
          <t>Locations</t>
        </is>
      </c>
      <c r="E16" s="32" t="inlineStr">
        <is>
          <t>Est. Cost</t>
        </is>
      </c>
      <c r="F16" s="32" t="n"/>
      <c r="G16" s="32" t="n"/>
      <c r="H16" s="32" t="n"/>
      <c r="I16" s="32" t="inlineStr">
        <is>
          <t>Rationale</t>
        </is>
      </c>
    </row>
    <row r="17">
      <c r="B17" s="20" t="inlineStr">
        <is>
          <t>Year 1 (2027/28)</t>
        </is>
      </c>
      <c r="C17" s="20" t="inlineStr">
        <is>
          <t>Full national round</t>
        </is>
      </c>
      <c r="D17" s="20" t="inlineStr">
        <is>
          <t>8 capital cities</t>
        </is>
      </c>
      <c r="E17" s="21" t="n">
        <v>45000</v>
      </c>
      <c r="F17" s="20" t="n"/>
      <c r="G17" s="20" t="n"/>
      <c r="H17" s="20" t="n"/>
      <c r="I17" s="20" t="inlineStr">
        <is>
          <t>Establishment co-design: resource library, pathway guides, service model</t>
        </is>
      </c>
    </row>
    <row r="18">
      <c r="B18" s="20" t="inlineStr">
        <is>
          <t>Year 2 (2028/29)</t>
        </is>
      </c>
      <c r="C18" s="20" t="inlineStr">
        <is>
          <t>Priority states + regional</t>
        </is>
      </c>
      <c r="D18" s="20" t="inlineStr">
        <is>
          <t>4-5 locations</t>
        </is>
      </c>
      <c r="E18" s="21" t="n">
        <v>27500</v>
      </c>
      <c r="F18" s="20" t="n"/>
      <c r="G18" s="20" t="n"/>
      <c r="H18" s="20" t="n"/>
      <c r="I18" s="20" t="inlineStr">
        <is>
          <t>Test resources, refine guides, deepen First Nations partnerships</t>
        </is>
      </c>
    </row>
    <row r="19">
      <c r="B19" s="20" t="inlineStr">
        <is>
          <t>Year 3 (2029/30)</t>
        </is>
      </c>
      <c r="C19" s="20" t="inlineStr">
        <is>
          <t>Targeted + mid-point</t>
        </is>
      </c>
      <c r="D19" s="20" t="inlineStr">
        <is>
          <t>3-4 locations</t>
        </is>
      </c>
      <c r="E19" s="21" t="n">
        <v>21500</v>
      </c>
      <c r="F19" s="20" t="n"/>
      <c r="G19" s="20" t="n"/>
      <c r="H19" s="20" t="n"/>
      <c r="I19" s="20" t="inlineStr">
        <is>
          <t>User testing of interactive tools, AI features, mid-point feedback</t>
        </is>
      </c>
    </row>
    <row r="20">
      <c r="B20" s="20" t="inlineStr">
        <is>
          <t>Year 4 (2030/31)</t>
        </is>
      </c>
      <c r="C20" s="20" t="inlineStr">
        <is>
          <t>Evaluation co-design</t>
        </is>
      </c>
      <c r="D20" s="20" t="inlineStr">
        <is>
          <t>3-4 locations</t>
        </is>
      </c>
      <c r="E20" s="21" t="n">
        <v>21500</v>
      </c>
      <c r="F20" s="20" t="n"/>
      <c r="G20" s="20" t="n"/>
      <c r="H20" s="20" t="n"/>
      <c r="I20" s="20" t="inlineStr">
        <is>
          <t>Mid-Point Review input, sustainability consultation</t>
        </is>
      </c>
    </row>
    <row r="21">
      <c r="B21" s="20" t="inlineStr">
        <is>
          <t>Year 5 (2031/32)</t>
        </is>
      </c>
      <c r="C21" s="20" t="inlineStr">
        <is>
          <t>Full national round</t>
        </is>
      </c>
      <c r="D21" s="20" t="inlineStr">
        <is>
          <t>8 capital cities</t>
        </is>
      </c>
      <c r="E21" s="21" t="n">
        <v>45000</v>
      </c>
      <c r="F21" s="20" t="n"/>
      <c r="G21" s="20" t="n"/>
      <c r="H21" s="20" t="n"/>
      <c r="I21" s="20" t="inlineStr">
        <is>
          <t>Close-out: sustainability, transition, final evaluation, handover</t>
        </is>
      </c>
    </row>
    <row r="22">
      <c r="A22" s="15" t="n"/>
      <c r="B22" s="15" t="inlineStr">
        <is>
          <t>TOTAL CO-DESIGN TRAVEL</t>
        </is>
      </c>
      <c r="C22" s="15" t="n"/>
      <c r="D22" s="16" t="n"/>
      <c r="E22" s="16" t="n">
        <v>160500</v>
      </c>
      <c r="F22" s="16" t="n"/>
      <c r="G22" s="16" t="n"/>
      <c r="H22" s="16" t="n"/>
      <c r="I22" s="16" t="n"/>
      <c r="J22" s="15" t="n"/>
    </row>
  </sheetData>
  <mergeCells count="3">
    <mergeCell ref="B1:I1"/>
    <mergeCell ref="B2:I2"/>
    <mergeCell ref="B15:I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40" customWidth="1" min="9" max="9"/>
  </cols>
  <sheetData>
    <row r="1">
      <c r="B1" s="33" t="inlineStr">
        <is>
          <t>AI-Enabled Infrastructure — Detailed Component Breakdown</t>
        </is>
      </c>
    </row>
    <row r="2"/>
    <row r="3">
      <c r="A3" s="34" t="inlineStr">
        <is>
          <t>#</t>
        </is>
      </c>
      <c r="B3" s="34" t="inlineStr">
        <is>
          <t>Component</t>
        </is>
      </c>
      <c r="C3" s="34" t="inlineStr">
        <is>
          <t>Year 1</t>
        </is>
      </c>
      <c r="D3" s="34" t="inlineStr">
        <is>
          <t>Year 2</t>
        </is>
      </c>
      <c r="E3" s="34" t="inlineStr">
        <is>
          <t>Year 3</t>
        </is>
      </c>
      <c r="F3" s="34" t="inlineStr">
        <is>
          <t>Year 4</t>
        </is>
      </c>
      <c r="G3" s="34" t="inlineStr">
        <is>
          <t>Year 5</t>
        </is>
      </c>
      <c r="H3" s="34" t="inlineStr">
        <is>
          <t>Total</t>
        </is>
      </c>
      <c r="I3" s="34" t="inlineStr">
        <is>
          <t>Eligible Category</t>
        </is>
      </c>
    </row>
    <row r="4" ht="30" customHeight="1">
      <c r="A4" s="35" t="inlineStr">
        <is>
          <t>AI AREA 1 — Library Assistant (Highest Value, Lowest Risk)</t>
        </is>
      </c>
      <c r="B4" s="36" t="n"/>
      <c r="C4" s="36" t="n"/>
      <c r="D4" s="36" t="n"/>
      <c r="E4" s="36" t="n"/>
      <c r="F4" s="36" t="n"/>
      <c r="G4" s="36" t="n"/>
      <c r="H4" s="36" t="n"/>
      <c r="I4" s="37" t="n"/>
    </row>
    <row r="5" ht="30" customHeight="1">
      <c r="A5" s="20" t="n"/>
      <c r="B5" s="20" t="inlineStr">
        <is>
          <t>Retrieval pipeline build (RAG architecture, corpus ingestion, prompt engineering)</t>
        </is>
      </c>
      <c r="C5" s="21" t="n">
        <v>45000</v>
      </c>
      <c r="D5" s="21" t="n">
        <v>0</v>
      </c>
      <c r="E5" s="21" t="n">
        <v>0</v>
      </c>
      <c r="F5" s="21" t="n">
        <v>0</v>
      </c>
      <c r="G5" s="21" t="n">
        <v>0</v>
      </c>
      <c r="H5" s="21">
        <f>SUM(C5:G5)</f>
        <v/>
      </c>
      <c r="I5" s="20" t="inlineStr">
        <is>
          <t>IT software; Short-term consultants</t>
        </is>
      </c>
    </row>
    <row r="6" ht="30" customHeight="1">
      <c r="A6" s="20" t="n"/>
      <c r="B6" s="20" t="inlineStr">
        <is>
          <t>Secure hosting &amp; model access (API costs, cloud infrastructure)</t>
        </is>
      </c>
      <c r="C6" s="21" t="n">
        <v>8000</v>
      </c>
      <c r="D6" s="21" t="n">
        <v>12000</v>
      </c>
      <c r="E6" s="21" t="n">
        <v>12000</v>
      </c>
      <c r="F6" s="21" t="n">
        <v>12000</v>
      </c>
      <c r="G6" s="21" t="n">
        <v>12000</v>
      </c>
      <c r="H6" s="21">
        <f>SUM(C6:G6)</f>
        <v/>
      </c>
      <c r="I6" s="20" t="inlineStr">
        <is>
          <t>IT software/hardware</t>
        </is>
      </c>
    </row>
    <row r="7" ht="30" customHeight="1">
      <c r="A7" s="20" t="n"/>
      <c r="B7" s="20" t="inlineStr">
        <is>
          <t>Safety architecture (confidence thresholds, human escalation, audit logging)</t>
        </is>
      </c>
      <c r="C7" s="21" t="n">
        <v>15000</v>
      </c>
      <c r="D7" s="21" t="n">
        <v>5000</v>
      </c>
      <c r="E7" s="21" t="n">
        <v>0</v>
      </c>
      <c r="F7" s="21" t="n">
        <v>0</v>
      </c>
      <c r="G7" s="21" t="n">
        <v>0</v>
      </c>
      <c r="H7" s="21">
        <f>SUM(C7:G7)</f>
        <v/>
      </c>
      <c r="I7" s="20" t="inlineStr">
        <is>
          <t>IT software; Short-term consultants</t>
        </is>
      </c>
    </row>
    <row r="8" ht="30" customHeight="1">
      <c r="A8" s="20" t="n"/>
      <c r="B8" s="20" t="inlineStr">
        <is>
          <t>WCAG accessibility engineering</t>
        </is>
      </c>
      <c r="C8" s="21" t="n">
        <v>10000</v>
      </c>
      <c r="D8" s="21" t="n">
        <v>5000</v>
      </c>
      <c r="E8" s="21" t="n">
        <v>2000</v>
      </c>
      <c r="F8" s="21" t="n">
        <v>2000</v>
      </c>
      <c r="G8" s="21" t="n">
        <v>2000</v>
      </c>
      <c r="H8" s="21">
        <f>SUM(C8:G8)</f>
        <v/>
      </c>
      <c r="I8" s="20" t="inlineStr">
        <is>
          <t>IT software; Short-term consultants</t>
        </is>
      </c>
    </row>
    <row r="9" ht="30" customHeight="1">
      <c r="A9" s="20" t="n"/>
      <c r="B9" s="20" t="inlineStr">
        <is>
          <t>User testing &amp; iteration (with lived experience advisory)</t>
        </is>
      </c>
      <c r="C9" s="21" t="n">
        <v>5000</v>
      </c>
      <c r="D9" s="21" t="n">
        <v>5000</v>
      </c>
      <c r="E9" s="21" t="n">
        <v>3000</v>
      </c>
      <c r="F9" s="21" t="n">
        <v>3000</v>
      </c>
      <c r="G9" s="21" t="n">
        <v>3000</v>
      </c>
      <c r="H9" s="21">
        <f>SUM(C9:G9)</f>
        <v/>
      </c>
      <c r="I9" s="20" t="inlineStr">
        <is>
          <t>Short-term consultants; Operational</t>
        </is>
      </c>
    </row>
    <row r="10" ht="30" customHeight="1">
      <c r="A10" s="15" t="n"/>
      <c r="B10" s="15" t="inlineStr">
        <is>
          <t>Area 1 Subtotal</t>
        </is>
      </c>
      <c r="C10" s="15">
        <f>SUM(C5:C9)</f>
        <v/>
      </c>
      <c r="D10" s="16">
        <f>SUM(D5:D9)</f>
        <v/>
      </c>
      <c r="E10" s="16">
        <f>SUM(E5:E9)</f>
        <v/>
      </c>
      <c r="F10" s="16">
        <f>SUM(F5:F9)</f>
        <v/>
      </c>
      <c r="G10" s="16">
        <f>SUM(G5:G9)</f>
        <v/>
      </c>
      <c r="H10" s="16">
        <f>SUM(C10:G10)</f>
        <v/>
      </c>
      <c r="I10" s="16" t="n"/>
    </row>
    <row r="11" ht="30" customHeight="1">
      <c r="A11" s="35" t="inlineStr">
        <is>
          <t>AI AREA 2 — Enquiry Triage &amp; Drafting</t>
        </is>
      </c>
      <c r="B11" s="36" t="n"/>
      <c r="C11" s="36" t="n"/>
      <c r="D11" s="36" t="n"/>
      <c r="E11" s="36" t="n"/>
      <c r="F11" s="36" t="n"/>
      <c r="G11" s="36" t="n"/>
      <c r="H11" s="36" t="n"/>
      <c r="I11" s="37" t="n"/>
    </row>
    <row r="12" ht="30" customHeight="1">
      <c r="A12" s="20" t="n"/>
      <c r="B12" s="20" t="inlineStr">
        <is>
          <t>Classification model (triage categories, routing, safeguarding detection)</t>
        </is>
      </c>
      <c r="C12" s="21" t="n">
        <v>20000</v>
      </c>
      <c r="D12" s="21" t="n">
        <v>5000</v>
      </c>
      <c r="E12" s="21" t="n">
        <v>0</v>
      </c>
      <c r="F12" s="21" t="n">
        <v>0</v>
      </c>
      <c r="G12" s="21" t="n">
        <v>0</v>
      </c>
      <c r="H12" s="21">
        <f>SUM(C12:G12)</f>
        <v/>
      </c>
      <c r="I12" s="20" t="inlineStr">
        <is>
          <t>IT software; Short-term consultants</t>
        </is>
      </c>
    </row>
    <row r="13" ht="30" customHeight="1">
      <c r="A13" s="20" t="n"/>
      <c r="B13" s="20" t="inlineStr">
        <is>
          <t>Draft-reply generation (grounded in library, review workflow)</t>
        </is>
      </c>
      <c r="C13" s="21" t="n">
        <v>15000</v>
      </c>
      <c r="D13" s="21" t="n">
        <v>5000</v>
      </c>
      <c r="E13" s="21" t="n">
        <v>0</v>
      </c>
      <c r="F13" s="21" t="n">
        <v>0</v>
      </c>
      <c r="G13" s="21" t="n">
        <v>0</v>
      </c>
      <c r="H13" s="21">
        <f>SUM(C13:G13)</f>
        <v/>
      </c>
      <c r="I13" s="20" t="inlineStr">
        <is>
          <t>IT software</t>
        </is>
      </c>
    </row>
    <row r="14" ht="30" customHeight="1">
      <c r="A14" s="20" t="n"/>
      <c r="B14" s="20" t="inlineStr">
        <is>
          <t>Integration with enquiry management platform</t>
        </is>
      </c>
      <c r="C14" s="21" t="n">
        <v>10000</v>
      </c>
      <c r="D14" s="21" t="n">
        <v>3000</v>
      </c>
      <c r="E14" s="21" t="n">
        <v>2000</v>
      </c>
      <c r="F14" s="21" t="n">
        <v>2000</v>
      </c>
      <c r="G14" s="21" t="n">
        <v>2000</v>
      </c>
      <c r="H14" s="21">
        <f>SUM(C14:G14)</f>
        <v/>
      </c>
      <c r="I14" s="20" t="inlineStr">
        <is>
          <t>IT software</t>
        </is>
      </c>
    </row>
    <row r="15" ht="30" customHeight="1">
      <c r="A15" s="20" t="n"/>
      <c r="B15" s="20" t="inlineStr">
        <is>
          <t>Safeguarding layer (mandatory human review, escalation, logging)</t>
        </is>
      </c>
      <c r="C15" s="21" t="n">
        <v>8000</v>
      </c>
      <c r="D15" s="21" t="n">
        <v>3000</v>
      </c>
      <c r="E15" s="21" t="n">
        <v>2000</v>
      </c>
      <c r="F15" s="21" t="n">
        <v>2000</v>
      </c>
      <c r="G15" s="21" t="n">
        <v>2000</v>
      </c>
      <c r="H15" s="21">
        <f>SUM(C15:G15)</f>
        <v/>
      </c>
      <c r="I15" s="20" t="inlineStr">
        <is>
          <t>IT software; Short-term consultants</t>
        </is>
      </c>
    </row>
    <row r="16" ht="30" customHeight="1">
      <c r="A16" s="15" t="n"/>
      <c r="B16" s="15" t="inlineStr">
        <is>
          <t>Area 2 Subtotal</t>
        </is>
      </c>
      <c r="C16" s="15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SUM(C16:G16)</f>
        <v/>
      </c>
      <c r="I16" s="16" t="n"/>
    </row>
    <row r="17" ht="30" customHeight="1">
      <c r="A17" s="35" t="inlineStr">
        <is>
          <t>AI AREA 3 — Resources in Every Format (Accessibility at Low Marginal Cost)</t>
        </is>
      </c>
      <c r="B17" s="36" t="n"/>
      <c r="C17" s="36" t="n"/>
      <c r="D17" s="36" t="n"/>
      <c r="E17" s="36" t="n"/>
      <c r="F17" s="36" t="n"/>
      <c r="G17" s="36" t="n"/>
      <c r="H17" s="36" t="n"/>
      <c r="I17" s="37" t="n"/>
    </row>
    <row r="18" ht="30" customHeight="1">
      <c r="A18" s="20" t="n"/>
      <c r="B18" s="20" t="inlineStr">
        <is>
          <t>Easy Read first-draft generation (fine-tuned prompts, templates)</t>
        </is>
      </c>
      <c r="C18" s="21" t="n">
        <v>12000</v>
      </c>
      <c r="D18" s="21" t="n">
        <v>5000</v>
      </c>
      <c r="E18" s="21" t="n">
        <v>0</v>
      </c>
      <c r="F18" s="21" t="n">
        <v>0</v>
      </c>
      <c r="G18" s="21" t="n">
        <v>0</v>
      </c>
      <c r="H18" s="21">
        <f>SUM(C18:G18)</f>
        <v/>
      </c>
      <c r="I18" s="20" t="inlineStr">
        <is>
          <t>IT software; Short-term consultants</t>
        </is>
      </c>
    </row>
    <row r="19" ht="30" customHeight="1">
      <c r="A19" s="20" t="n"/>
      <c r="B19" s="20" t="inlineStr">
        <is>
          <t>Plain-language simplification pipeline</t>
        </is>
      </c>
      <c r="C19" s="21" t="n">
        <v>8000</v>
      </c>
      <c r="D19" s="21" t="n">
        <v>3000</v>
      </c>
      <c r="E19" s="21" t="n">
        <v>0</v>
      </c>
      <c r="F19" s="21" t="n">
        <v>0</v>
      </c>
      <c r="G19" s="21" t="n">
        <v>0</v>
      </c>
      <c r="H19" s="21">
        <f>SUM(C19:G19)</f>
        <v/>
      </c>
      <c r="I19" s="20" t="inlineStr">
        <is>
          <t>IT software</t>
        </is>
      </c>
    </row>
    <row r="20" ht="30" customHeight="1">
      <c r="A20" s="20" t="n"/>
      <c r="B20" s="20" t="inlineStr">
        <is>
          <t>Translation first-draft pipeline (priority community languages)</t>
        </is>
      </c>
      <c r="C20" s="21" t="n">
        <v>10000</v>
      </c>
      <c r="D20" s="21" t="n">
        <v>5000</v>
      </c>
      <c r="E20" s="21" t="n">
        <v>3000</v>
      </c>
      <c r="F20" s="21" t="n">
        <v>3000</v>
      </c>
      <c r="G20" s="21" t="n">
        <v>3000</v>
      </c>
      <c r="H20" s="21">
        <f>SUM(C20:G20)</f>
        <v/>
      </c>
      <c r="I20" s="20" t="inlineStr">
        <is>
          <t>IT software</t>
        </is>
      </c>
    </row>
    <row r="21" ht="30" customHeight="1">
      <c r="A21" s="20" t="n"/>
      <c r="B21" s="20" t="inlineStr">
        <is>
          <t>Human review workflow (Easy Read, bilingual, people with disability reviewers)</t>
        </is>
      </c>
      <c r="C21" s="21" t="n">
        <v>5000</v>
      </c>
      <c r="D21" s="21" t="n">
        <v>12000</v>
      </c>
      <c r="E21" s="21" t="n">
        <v>10000</v>
      </c>
      <c r="F21" s="21" t="n">
        <v>10000</v>
      </c>
      <c r="G21" s="21" t="n">
        <v>10000</v>
      </c>
      <c r="H21" s="21">
        <f>SUM(C21:G21)</f>
        <v/>
      </c>
      <c r="I21" s="20" t="inlineStr">
        <is>
          <t>Wages &amp; super; Short-term consultants</t>
        </is>
      </c>
    </row>
    <row r="22" ht="30" customHeight="1">
      <c r="A22" s="15" t="n"/>
      <c r="B22" s="15" t="inlineStr">
        <is>
          <t>Area 3 Subtotal</t>
        </is>
      </c>
      <c r="C22" s="15">
        <f>SUM(C18:C21)</f>
        <v/>
      </c>
      <c r="D22" s="16">
        <f>SUM(D18:D21)</f>
        <v/>
      </c>
      <c r="E22" s="16">
        <f>SUM(E18:E21)</f>
        <v/>
      </c>
      <c r="F22" s="16">
        <f>SUM(F18:F21)</f>
        <v/>
      </c>
      <c r="G22" s="16">
        <f>SUM(G18:G21)</f>
        <v/>
      </c>
      <c r="H22" s="16">
        <f>SUM(C22:G22)</f>
        <v/>
      </c>
      <c r="I22" s="16" t="n"/>
    </row>
    <row r="23" ht="30" customHeight="1">
      <c r="A23" s="35" t="inlineStr">
        <is>
          <t>AI AREA 4 — Interactive Pathway Navigators</t>
        </is>
      </c>
      <c r="B23" s="36" t="n"/>
      <c r="C23" s="36" t="n"/>
      <c r="D23" s="36" t="n"/>
      <c r="E23" s="36" t="n"/>
      <c r="F23" s="36" t="n"/>
      <c r="G23" s="36" t="n"/>
      <c r="H23" s="36" t="n"/>
      <c r="I23" s="37" t="n"/>
    </row>
    <row r="24" ht="30" customHeight="1">
      <c r="A24" s="20" t="n"/>
      <c r="B24" s="20" t="inlineStr">
        <is>
          <t>Pathway logic engine (decision trees, jurisdiction mapping)</t>
        </is>
      </c>
      <c r="C24" s="21" t="n">
        <v>5000</v>
      </c>
      <c r="D24" s="21" t="n">
        <v>25000</v>
      </c>
      <c r="E24" s="21" t="n">
        <v>5000</v>
      </c>
      <c r="F24" s="21" t="n">
        <v>0</v>
      </c>
      <c r="G24" s="21" t="n">
        <v>0</v>
      </c>
      <c r="H24" s="21">
        <f>SUM(C24:G24)</f>
        <v/>
      </c>
      <c r="I24" s="20" t="inlineStr">
        <is>
          <t>IT software; Short-term consultants</t>
        </is>
      </c>
    </row>
    <row r="25" ht="30" customHeight="1">
      <c r="A25" s="20" t="n"/>
      <c r="B25" s="20" t="inlineStr">
        <is>
          <t>Conversational interface (guided Q&amp;A, personalised output)</t>
        </is>
      </c>
      <c r="C25" s="21" t="n">
        <v>5000</v>
      </c>
      <c r="D25" s="21" t="n">
        <v>15000</v>
      </c>
      <c r="E25" s="21" t="n">
        <v>5000</v>
      </c>
      <c r="F25" s="21" t="n">
        <v>0</v>
      </c>
      <c r="G25" s="21" t="n">
        <v>0</v>
      </c>
      <c r="H25" s="21">
        <f>SUM(C25:G25)</f>
        <v/>
      </c>
      <c r="I25" s="20" t="inlineStr">
        <is>
          <t>IT software</t>
        </is>
      </c>
    </row>
    <row r="26" ht="30" customHeight="1">
      <c r="A26" s="20" t="n"/>
      <c r="B26" s="20" t="inlineStr">
        <is>
          <t>Content integration with Resource Library</t>
        </is>
      </c>
      <c r="C26" s="21" t="n">
        <v>3000</v>
      </c>
      <c r="D26" s="21" t="n">
        <v>5000</v>
      </c>
      <c r="E26" s="21" t="n">
        <v>3000</v>
      </c>
      <c r="F26" s="21" t="n">
        <v>3000</v>
      </c>
      <c r="G26" s="21" t="n">
        <v>3000</v>
      </c>
      <c r="H26" s="21">
        <f>SUM(C26:G26)</f>
        <v/>
      </c>
      <c r="I26" s="20" t="inlineStr">
        <is>
          <t>IT software</t>
        </is>
      </c>
    </row>
    <row r="27" ht="30" customHeight="1">
      <c r="A27" s="20" t="n"/>
      <c r="B27" s="20" t="inlineStr">
        <is>
          <t>User testing and co-design (families, carers)</t>
        </is>
      </c>
      <c r="C27" s="21" t="n">
        <v>2000</v>
      </c>
      <c r="D27" s="21" t="n">
        <v>5000</v>
      </c>
      <c r="E27" s="21" t="n">
        <v>3000</v>
      </c>
      <c r="F27" s="21" t="n">
        <v>3000</v>
      </c>
      <c r="G27" s="21" t="n">
        <v>3000</v>
      </c>
      <c r="H27" s="21">
        <f>SUM(C27:G27)</f>
        <v/>
      </c>
      <c r="I27" s="20" t="inlineStr">
        <is>
          <t>Short-term consultants; Operational</t>
        </is>
      </c>
    </row>
    <row r="28" ht="30" customHeight="1">
      <c r="A28" s="15" t="n"/>
      <c r="B28" s="15" t="inlineStr">
        <is>
          <t>Area 4 Subtotal</t>
        </is>
      </c>
      <c r="C28" s="15">
        <f>SUM(C24:C27)</f>
        <v/>
      </c>
      <c r="D28" s="16">
        <f>SUM(D24:D27)</f>
        <v/>
      </c>
      <c r="E28" s="16">
        <f>SUM(E24:E27)</f>
        <v/>
      </c>
      <c r="F28" s="16">
        <f>SUM(F24:F27)</f>
        <v/>
      </c>
      <c r="G28" s="16">
        <f>SUM(G24:G27)</f>
        <v/>
      </c>
      <c r="H28" s="16">
        <f>SUM(C28:G28)</f>
        <v/>
      </c>
      <c r="I28" s="16" t="n"/>
    </row>
    <row r="29" ht="30" customHeight="1">
      <c r="A29" s="35" t="inlineStr">
        <is>
          <t>AI AREA 5 — Content Freshness &amp; Gap Monitoring (Sustainability Engine)</t>
        </is>
      </c>
      <c r="B29" s="36" t="n"/>
      <c r="C29" s="36" t="n"/>
      <c r="D29" s="36" t="n"/>
      <c r="E29" s="36" t="n"/>
      <c r="F29" s="36" t="n"/>
      <c r="G29" s="36" t="n"/>
      <c r="H29" s="36" t="n"/>
      <c r="I29" s="37" t="n"/>
    </row>
    <row r="30" ht="30" customHeight="1">
      <c r="A30" s="20" t="n"/>
      <c r="B30" s="20" t="inlineStr">
        <is>
          <t>Monitoring pipeline (clinical guidelines, policy changes, link health)</t>
        </is>
      </c>
      <c r="C30" s="21" t="n">
        <v>15000</v>
      </c>
      <c r="D30" s="21" t="n">
        <v>5000</v>
      </c>
      <c r="E30" s="21" t="n">
        <v>0</v>
      </c>
      <c r="F30" s="21" t="n">
        <v>0</v>
      </c>
      <c r="G30" s="21" t="n">
        <v>0</v>
      </c>
      <c r="H30" s="21">
        <f>SUM(C30:G30)</f>
        <v/>
      </c>
      <c r="I30" s="20" t="inlineStr">
        <is>
          <t>IT software; Short-term consultants</t>
        </is>
      </c>
    </row>
    <row r="31" ht="30" customHeight="1">
      <c r="A31" s="20" t="n"/>
      <c r="B31" s="20" t="inlineStr">
        <is>
          <t>Gap detection (unanswered query analysis, corpus coverage mapping)</t>
        </is>
      </c>
      <c r="C31" s="21" t="n">
        <v>10000</v>
      </c>
      <c r="D31" s="21" t="n">
        <v>5000</v>
      </c>
      <c r="E31" s="21" t="n">
        <v>3000</v>
      </c>
      <c r="F31" s="21" t="n">
        <v>0</v>
      </c>
      <c r="G31" s="21" t="n">
        <v>0</v>
      </c>
      <c r="H31" s="21">
        <f>SUM(C31:G31)</f>
        <v/>
      </c>
      <c r="I31" s="20" t="inlineStr">
        <is>
          <t>IT software</t>
        </is>
      </c>
    </row>
    <row r="32" ht="30" customHeight="1">
      <c r="A32" s="20" t="n"/>
      <c r="B32" s="20" t="inlineStr">
        <is>
          <t>Alerting and dashboard (content team notifications, priority queue)</t>
        </is>
      </c>
      <c r="C32" s="21" t="n">
        <v>5000</v>
      </c>
      <c r="D32" s="21" t="n">
        <v>5000</v>
      </c>
      <c r="E32" s="21" t="n">
        <v>3000</v>
      </c>
      <c r="F32" s="21" t="n">
        <v>3000</v>
      </c>
      <c r="G32" s="21" t="n">
        <v>3000</v>
      </c>
      <c r="H32" s="21">
        <f>SUM(C32:G32)</f>
        <v/>
      </c>
      <c r="I32" s="20" t="inlineStr">
        <is>
          <t>IT software</t>
        </is>
      </c>
    </row>
    <row r="33" ht="30" customHeight="1">
      <c r="A33" s="15" t="n"/>
      <c r="B33" s="15" t="inlineStr">
        <is>
          <t>Area 5 Subtotal</t>
        </is>
      </c>
      <c r="C33" s="15">
        <f>SUM(C30:C32)</f>
        <v/>
      </c>
      <c r="D33" s="16">
        <f>SUM(D30:D32)</f>
        <v/>
      </c>
      <c r="E33" s="16">
        <f>SUM(E30:E32)</f>
        <v/>
      </c>
      <c r="F33" s="16">
        <f>SUM(F30:F32)</f>
        <v/>
      </c>
      <c r="G33" s="16">
        <f>SUM(G30:G32)</f>
        <v/>
      </c>
      <c r="H33" s="16">
        <f>SUM(C33:G33)</f>
        <v/>
      </c>
      <c r="I33" s="16" t="n"/>
    </row>
    <row r="34" ht="30" customHeight="1">
      <c r="A34" s="35" t="inlineStr">
        <is>
          <t>AI AREA 6 — Reporting &amp; Intelligence</t>
        </is>
      </c>
      <c r="B34" s="36" t="n"/>
      <c r="C34" s="36" t="n"/>
      <c r="D34" s="36" t="n"/>
      <c r="E34" s="36" t="n"/>
      <c r="F34" s="36" t="n"/>
      <c r="G34" s="36" t="n"/>
      <c r="H34" s="36" t="n"/>
      <c r="I34" s="37" t="n"/>
    </row>
    <row r="35" ht="30" customHeight="1">
      <c r="A35" s="20" t="n"/>
      <c r="B35" s="20" t="inlineStr">
        <is>
          <t>Analytics pipeline (enquiry aggregation, theme extraction, trend detection)</t>
        </is>
      </c>
      <c r="C35" s="21" t="n">
        <v>10000</v>
      </c>
      <c r="D35" s="21" t="n">
        <v>8000</v>
      </c>
      <c r="E35" s="21" t="n">
        <v>0</v>
      </c>
      <c r="F35" s="21" t="n">
        <v>0</v>
      </c>
      <c r="G35" s="21" t="n">
        <v>0</v>
      </c>
      <c r="H35" s="21">
        <f>SUM(C35:G35)</f>
        <v/>
      </c>
      <c r="I35" s="20" t="inlineStr">
        <is>
          <t>IT software</t>
        </is>
      </c>
    </row>
    <row r="36" ht="30" customHeight="1">
      <c r="A36" s="20" t="n"/>
      <c r="B36" s="20" t="inlineStr">
        <is>
          <t>Reporting dashboards (Dept reporting, Mid-Point Review, de-identified intel)</t>
        </is>
      </c>
      <c r="C36" s="21" t="n">
        <v>5000</v>
      </c>
      <c r="D36" s="21" t="n">
        <v>10000</v>
      </c>
      <c r="E36" s="21" t="n">
        <v>5000</v>
      </c>
      <c r="F36" s="21" t="n">
        <v>5000</v>
      </c>
      <c r="G36" s="21" t="n">
        <v>5000</v>
      </c>
      <c r="H36" s="21">
        <f>SUM(C36:G36)</f>
        <v/>
      </c>
      <c r="I36" s="20" t="inlineStr">
        <is>
          <t>IT software; Accounting/evaluation</t>
        </is>
      </c>
    </row>
    <row r="37" ht="30" customHeight="1">
      <c r="A37" s="20" t="n"/>
      <c r="B37" s="20" t="inlineStr">
        <is>
          <t>National intelligence outputs (de-identified community insights)</t>
        </is>
      </c>
      <c r="C37" s="21" t="n">
        <v>0</v>
      </c>
      <c r="D37" s="21" t="n">
        <v>5000</v>
      </c>
      <c r="E37" s="21" t="n">
        <v>5000</v>
      </c>
      <c r="F37" s="21" t="n">
        <v>5000</v>
      </c>
      <c r="G37" s="21" t="n">
        <v>5000</v>
      </c>
      <c r="H37" s="21">
        <f>SUM(C37:G37)</f>
        <v/>
      </c>
      <c r="I37" s="20" t="inlineStr">
        <is>
          <t>IT software; Operational</t>
        </is>
      </c>
    </row>
    <row r="38" ht="30" customHeight="1">
      <c r="A38" s="15" t="n"/>
      <c r="B38" s="15" t="inlineStr">
        <is>
          <t>Area 6 Subtotal</t>
        </is>
      </c>
      <c r="C38" s="15">
        <f>SUM(C35:C37)</f>
        <v/>
      </c>
      <c r="D38" s="16">
        <f>SUM(D35:D37)</f>
        <v/>
      </c>
      <c r="E38" s="16">
        <f>SUM(E35:E37)</f>
        <v/>
      </c>
      <c r="F38" s="16">
        <f>SUM(F35:F37)</f>
        <v/>
      </c>
      <c r="G38" s="16">
        <f>SUM(G35:G37)</f>
        <v/>
      </c>
      <c r="H38" s="16">
        <f>SUM(C38:G38)</f>
        <v/>
      </c>
      <c r="I38" s="16" t="n"/>
    </row>
    <row r="39" ht="30" customHeight="1"/>
    <row r="40" ht="30" customHeight="1">
      <c r="A40" s="38" t="n"/>
      <c r="B40" s="38" t="inlineStr">
        <is>
          <t>AI AREAS GRAND TOTAL</t>
        </is>
      </c>
      <c r="C40" s="38">
        <f>C10+C16+C22+C28+C33+C38</f>
        <v/>
      </c>
      <c r="D40" s="39">
        <f>D10+D16+D22+D28+D33+D38</f>
        <v/>
      </c>
      <c r="E40" s="39">
        <f>E10+E16+E22+E28+E33+E38</f>
        <v/>
      </c>
      <c r="F40" s="39">
        <f>F10+F16+F22+F28+F33+F38</f>
        <v/>
      </c>
      <c r="G40" s="39">
        <f>G10+G16+G22+G28+G33+G38</f>
        <v/>
      </c>
      <c r="H40" s="39">
        <f>H10+H16+H22+H28+H33+H38</f>
        <v/>
      </c>
      <c r="I40" s="39" t="n"/>
    </row>
  </sheetData>
  <mergeCells count="7">
    <mergeCell ref="A29:I29"/>
    <mergeCell ref="A11:I11"/>
    <mergeCell ref="B1:H1"/>
    <mergeCell ref="A17:I17"/>
    <mergeCell ref="A23:I23"/>
    <mergeCell ref="A34:I34"/>
    <mergeCell ref="A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30" customWidth="1" min="4" max="4"/>
    <col width="35" customWidth="1" min="5" max="5"/>
    <col width="12" customWidth="1" min="6" max="6"/>
    <col width="12" customWidth="1" min="7" max="7"/>
    <col width="12" customWidth="1" min="8" max="8"/>
    <col width="14" customWidth="1" min="9" max="9"/>
    <col width="45" customWidth="1" min="10" max="10"/>
  </cols>
  <sheetData>
    <row r="1">
      <c r="B1" s="1" t="inlineStr">
        <is>
          <t>Risk Management Plan</t>
        </is>
      </c>
    </row>
    <row r="2">
      <c r="B2" s="2" t="inlineStr">
        <is>
          <t>Disability Peer Support and Connections Program 2026-27 - GO8264</t>
        </is>
      </c>
    </row>
    <row r="3">
      <c r="B3" t="inlineStr">
        <is>
          <t>UNSW Sydney ABN 57 195 873 179</t>
        </is>
      </c>
      <c r="F3" t="inlineStr">
        <is>
          <t>DEE Connect: National information hub for Development and Epileptic Encephalopathies</t>
        </is>
      </c>
    </row>
    <row r="4"/>
    <row r="5">
      <c r="B5" s="6" t="inlineStr">
        <is>
          <t>Risk Ref</t>
        </is>
      </c>
      <c r="C5" s="6" t="inlineStr">
        <is>
          <t>Risk Identification</t>
        </is>
      </c>
      <c r="D5" s="6" t="inlineStr">
        <is>
          <t>Risk Impact</t>
        </is>
      </c>
      <c r="E5" s="6" t="inlineStr">
        <is>
          <t>Risk Controls</t>
        </is>
      </c>
      <c r="F5" s="6" t="inlineStr">
        <is>
          <t>Likelihood</t>
        </is>
      </c>
      <c r="G5" s="6" t="inlineStr">
        <is>
          <t>Consequence</t>
        </is>
      </c>
      <c r="H5" s="6" t="inlineStr">
        <is>
          <t>Current Rating</t>
        </is>
      </c>
      <c r="I5" s="6" t="inlineStr">
        <is>
          <t>Acceptable?</t>
        </is>
      </c>
      <c r="J5" s="6" t="inlineStr">
        <is>
          <t>Mitigation Strategy</t>
        </is>
      </c>
    </row>
    <row r="6" ht="60" customHeight="1">
      <c r="B6" s="20" t="n">
        <v>1</v>
      </c>
      <c r="C6" s="20" t="inlineStr">
        <is>
          <t>Condition for Participation (s4.4): consortium member holds overlapping ILC IFCB or IAR grant.</t>
        </is>
      </c>
      <c r="D6" s="20" t="inlineStr">
        <is>
          <t>Application ineligible or delayed.</t>
        </is>
      </c>
      <c r="E6" s="20" t="inlineStr">
        <is>
          <t>Grant eligibility declarations; portfolio review.</t>
        </is>
      </c>
      <c r="F6" s="20" t="inlineStr">
        <is>
          <t>Possible</t>
        </is>
      </c>
      <c r="G6" s="20" t="inlineStr">
        <is>
          <t>Major</t>
        </is>
      </c>
      <c r="H6" s="40" t="inlineStr">
        <is>
          <t>High</t>
        </is>
      </c>
      <c r="I6" s="20" t="inlineStr">
        <is>
          <t>Acceptable</t>
        </is>
      </c>
      <c r="J6" s="20" t="inlineStr">
        <is>
          <t>Written confirmation from all partners; transition arrangements; consortium governance monitoring.</t>
        </is>
      </c>
    </row>
    <row r="7"/>
    <row r="8" ht="60" customHeight="1">
      <c r="B8" s="20" t="n">
        <v>2</v>
      </c>
      <c r="C8" s="20" t="inlineStr">
        <is>
          <t>IAR service determined regulated activity under DSI Act.</t>
        </is>
      </c>
      <c r="D8" s="20" t="inlineStr">
        <is>
          <t>Delay to advice service commencement.</t>
        </is>
      </c>
      <c r="E8" s="20" t="inlineStr">
        <is>
          <t>Service scoped as IAR only; UNSW governance.</t>
        </is>
      </c>
      <c r="F8" s="20" t="inlineStr">
        <is>
          <t>Possible</t>
        </is>
      </c>
      <c r="G8" s="20" t="inlineStr">
        <is>
          <t>Moderate</t>
        </is>
      </c>
      <c r="H8" s="41" t="inlineStr">
        <is>
          <t>Medium</t>
        </is>
      </c>
      <c r="I8" s="20" t="inlineStr">
        <is>
          <t>Acceptable</t>
        </is>
      </c>
      <c r="J8" s="20" t="inlineStr">
        <is>
          <t>Regulated activity assessment post-funding; obtain compliance certificate if required.</t>
        </is>
      </c>
    </row>
    <row r="9"/>
    <row r="10" ht="60" customHeight="1">
      <c r="B10" s="20" t="n">
        <v>3</v>
      </c>
      <c r="C10" s="20" t="inlineStr">
        <is>
          <t>Project perceived as duplicating Disability Gateway.</t>
        </is>
      </c>
      <c r="D10" s="20" t="inlineStr">
        <is>
          <t>Reduced assessment score or funded scope.</t>
        </is>
      </c>
      <c r="E10" s="20" t="inlineStr">
        <is>
          <t>Scope limited to DEE-specific; exclusions documented.</t>
        </is>
      </c>
      <c r="F10" s="20" t="inlineStr">
        <is>
          <t>Unlikely</t>
        </is>
      </c>
      <c r="G10" s="20" t="inlineStr">
        <is>
          <t>Moderate</t>
        </is>
      </c>
      <c r="H10" s="41" t="inlineStr">
        <is>
          <t>Medium</t>
        </is>
      </c>
      <c r="I10" s="20" t="inlineStr">
        <is>
          <t>Acceptable</t>
        </is>
      </c>
      <c r="J10" s="20" t="inlineStr">
        <is>
          <t>Clear differentiation; annual scope review; document referral relationships.</t>
        </is>
      </c>
    </row>
    <row r="11"/>
    <row r="12" ht="60" customHeight="1">
      <c r="B12" s="20" t="n">
        <v>4</v>
      </c>
      <c r="C12" s="20" t="inlineStr">
        <is>
          <t>Scope expands into advocacy, navigation or case management.</t>
        </is>
      </c>
      <c r="D12" s="20" t="inlineStr">
        <is>
          <t>Delivery of ineligible activities; compliance risk.</t>
        </is>
      </c>
      <c r="E12" s="20" t="inlineStr">
        <is>
          <t>Service model and role descriptions define boundaries.</t>
        </is>
      </c>
      <c r="F12" s="20" t="inlineStr">
        <is>
          <t>Possible</t>
        </is>
      </c>
      <c r="G12" s="20" t="inlineStr">
        <is>
          <t>Moderate</t>
        </is>
      </c>
      <c r="H12" s="41" t="inlineStr">
        <is>
          <t>Medium</t>
        </is>
      </c>
      <c r="I12" s="20" t="inlineStr">
        <is>
          <t>Acceptable</t>
        </is>
      </c>
      <c r="J12" s="20" t="inlineStr">
        <is>
          <t>Staff induction; supervision; periodic audit of enquiries; escalation pathway.</t>
        </is>
      </c>
    </row>
    <row r="13"/>
    <row r="14" ht="60" customHeight="1">
      <c r="B14" s="20" t="n">
        <v>5</v>
      </c>
      <c r="C14" s="20" t="inlineStr">
        <is>
          <t>Consortium partner withdraws or cannot fulfil obligations.</t>
        </is>
      </c>
      <c r="D14" s="20" t="inlineStr">
        <is>
          <t>Reduced capacity, delays or loss of expertise.</t>
        </is>
      </c>
      <c r="E14" s="20" t="inlineStr">
        <is>
          <t>Consortium agreement; distributed expertise.</t>
        </is>
      </c>
      <c r="F14" s="20" t="inlineStr">
        <is>
          <t>Unlikely</t>
        </is>
      </c>
      <c r="G14" s="20" t="inlineStr">
        <is>
          <t>Major</t>
        </is>
      </c>
      <c r="H14" s="40" t="inlineStr">
        <is>
          <t>High</t>
        </is>
      </c>
      <c r="I14" s="20" t="inlineStr">
        <is>
          <t>Acceptable</t>
        </is>
      </c>
      <c r="J14" s="20" t="inlineStr">
        <is>
          <t>Formal agreement with succession provisions; cross-training; documented processes.</t>
        </is>
      </c>
    </row>
    <row r="15"/>
    <row r="16" ht="60" customHeight="1">
      <c r="B16" s="20" t="n">
        <v>6</v>
      </c>
      <c r="C16" s="20" t="inlineStr">
        <is>
          <t>Consumer and lived-experience participation declines.</t>
        </is>
      </c>
      <c r="D16" s="20" t="inlineStr">
        <is>
          <t>Reduced co-design quality; weakened grant alignment.</t>
        </is>
      </c>
      <c r="E16" s="20" t="inlineStr">
        <is>
          <t>Remunerated advisory roles; diverse membership.</t>
        </is>
      </c>
      <c r="F16" s="20" t="inlineStr">
        <is>
          <t>Possible</t>
        </is>
      </c>
      <c r="G16" s="20" t="inlineStr">
        <is>
          <t>Moderate</t>
        </is>
      </c>
      <c r="H16" s="41" t="inlineStr">
        <is>
          <t>Medium</t>
        </is>
      </c>
      <c r="I16" s="20" t="inlineStr">
        <is>
          <t>Acceptable</t>
        </is>
      </c>
      <c r="J16" s="20" t="inlineStr">
        <is>
          <t>Ongoing recruitment; succession planning; culturally safe engagement; flexible participation.</t>
        </is>
      </c>
    </row>
    <row r="17"/>
    <row r="18" ht="60" customHeight="1">
      <c r="B18" s="20" t="n">
        <v>7</v>
      </c>
      <c r="C18" s="20" t="inlineStr">
        <is>
          <t>Budget profile becomes inconsistent with funding limits.</t>
        </is>
      </c>
      <c r="D18" s="20" t="inlineStr">
        <is>
          <t>Budget revisions required; VFM concerns.</t>
        </is>
      </c>
      <c r="E18" s="20" t="inlineStr">
        <is>
          <t>UNSW financial governance review.</t>
        </is>
      </c>
      <c r="F18" s="20" t="inlineStr">
        <is>
          <t>Possible</t>
        </is>
      </c>
      <c r="G18" s="20" t="inlineStr">
        <is>
          <t>Moderate</t>
        </is>
      </c>
      <c r="H18" s="41" t="inlineStr">
        <is>
          <t>Medium</t>
        </is>
      </c>
      <c r="I18" s="20" t="inlineStr">
        <is>
          <t>Acceptable</t>
        </is>
      </c>
      <c r="J18" s="20" t="inlineStr">
        <is>
          <t>Quarterly monitoring; financial reporting; contingency planning.</t>
        </is>
      </c>
    </row>
    <row r="19"/>
    <row r="20" ht="60" customHeight="1">
      <c r="B20" s="20" t="n">
        <v>8</v>
      </c>
      <c r="C20" s="20" t="inlineStr">
        <is>
          <t>Service sustainability beyond grant period not achieved.</t>
        </is>
      </c>
      <c r="D20" s="20" t="inlineStr">
        <is>
          <t>Loss of service after grant completion.</t>
        </is>
      </c>
      <c r="E20" s="20" t="inlineStr">
        <is>
          <t>Sustainability planning from commencement; durable digital assets.</t>
        </is>
      </c>
      <c r="F20" s="20" t="inlineStr">
        <is>
          <t>Possible</t>
        </is>
      </c>
      <c r="G20" s="20" t="inlineStr">
        <is>
          <t>Moderate</t>
        </is>
      </c>
      <c r="H20" s="41" t="inlineStr">
        <is>
          <t>Medium</t>
        </is>
      </c>
      <c r="I20" s="20" t="inlineStr">
        <is>
          <t>Acceptable</t>
        </is>
      </c>
      <c r="J20" s="20" t="inlineStr">
        <is>
          <t>Sustainability strategy from Year 1; embed in consortium; identify future funding pathways.</t>
        </is>
      </c>
    </row>
    <row r="21"/>
    <row r="22" ht="60" customHeight="1">
      <c r="B22" s="20" t="n">
        <v>9</v>
      </c>
      <c r="C22" s="20" t="inlineStr">
        <is>
          <t>Accessibility standards not achieved (WCAG, Easy Read).</t>
        </is>
      </c>
      <c r="D22" s="20" t="inlineStr">
        <is>
          <t>Reduced reach; reputational risk.</t>
        </is>
      </c>
      <c r="E22" s="20" t="inlineStr">
        <is>
          <t>Accessibility requirements in development workflow.</t>
        </is>
      </c>
      <c r="F22" s="20" t="inlineStr">
        <is>
          <t>Unlikely</t>
        </is>
      </c>
      <c r="G22" s="20" t="inlineStr">
        <is>
          <t>Moderate</t>
        </is>
      </c>
      <c r="H22" s="41" t="inlineStr">
        <is>
          <t>Medium</t>
        </is>
      </c>
      <c r="I22" s="20" t="inlineStr">
        <is>
          <t>Acceptable</t>
        </is>
      </c>
      <c r="J22" s="20" t="inlineStr">
        <is>
          <t>Independent review; user testing with people with disability; annual audit.</t>
        </is>
      </c>
    </row>
    <row r="23"/>
    <row r="24" ht="60" customHeight="1">
      <c r="B24" s="20" t="n">
        <v>10</v>
      </c>
      <c r="C24" s="20" t="inlineStr">
        <is>
          <t>Privacy, cyber security or safeguarding incident.</t>
        </is>
      </c>
      <c r="D24" s="20" t="inlineStr">
        <is>
          <t>Harm to participants; legal/reputational damage.</t>
        </is>
      </c>
      <c r="E24" s="20" t="inlineStr">
        <is>
          <t>UNSW Privacy, Cyber Security and Risk frameworks.</t>
        </is>
      </c>
      <c r="F24" s="20" t="inlineStr">
        <is>
          <t>Unlikely</t>
        </is>
      </c>
      <c r="G24" s="20" t="inlineStr">
        <is>
          <t>Major</t>
        </is>
      </c>
      <c r="H24" s="40" t="inlineStr">
        <is>
          <t>High</t>
        </is>
      </c>
      <c r="I24" s="20" t="inlineStr">
        <is>
          <t>Acceptable</t>
        </is>
      </c>
      <c r="J24" s="20" t="inlineStr">
        <is>
          <t>UNSW security requirements; role-based access; incident response; annual review; mandatory training.</t>
        </is>
      </c>
    </row>
    <row r="25"/>
    <row r="26" ht="60" customHeight="1">
      <c r="B26" s="20" t="n">
        <v>11</v>
      </c>
      <c r="C26" s="20" t="inlineStr">
        <is>
          <t>First Nations partnerships not established or maintained.</t>
        </is>
      </c>
      <c r="D26" s="20" t="inlineStr">
        <is>
          <t>Reduced cultural safety and equity outcomes.</t>
        </is>
      </c>
      <c r="E26" s="20" t="inlineStr">
        <is>
          <t>Early engagement in project planning.</t>
        </is>
      </c>
      <c r="F26" s="20" t="inlineStr">
        <is>
          <t>Possible</t>
        </is>
      </c>
      <c r="G26" s="20" t="inlineStr">
        <is>
          <t>Minor</t>
        </is>
      </c>
      <c r="H26" s="41" t="inlineStr">
        <is>
          <t>Medium</t>
        </is>
      </c>
      <c r="I26" s="20" t="inlineStr">
        <is>
          <t>Acceptable</t>
        </is>
      </c>
      <c r="J26" s="20" t="inlineStr">
        <is>
          <t>Establish partnerships before implementation; yarning circles; return to communities; reciprocal benefit.</t>
        </is>
      </c>
    </row>
    <row r="27"/>
    <row r="28" ht="60" customHeight="1">
      <c r="B28" s="20" t="n">
        <v>12</v>
      </c>
      <c r="C28" s="20" t="inlineStr">
        <is>
          <t>Governance, reporting or monitoring becomes ineffective.</t>
        </is>
      </c>
      <c r="D28" s="20" t="inlineStr">
        <is>
          <t>Missed milestones; delayed reporting; reduced quality.</t>
        </is>
      </c>
      <c r="E28" s="20" t="inlineStr">
        <is>
          <t>UNSW enterprise governance; Steering Committee.</t>
        </is>
      </c>
      <c r="F28" s="20" t="inlineStr">
        <is>
          <t>Unlikely</t>
        </is>
      </c>
      <c r="G28" s="20" t="inlineStr">
        <is>
          <t>Major</t>
        </is>
      </c>
      <c r="H28" s="40" t="inlineStr">
        <is>
          <t>High</t>
        </is>
      </c>
      <c r="I28" s="20" t="inlineStr">
        <is>
          <t>Acceptable</t>
        </is>
      </c>
      <c r="J28" s="20" t="inlineStr">
        <is>
          <t>Regular governance meetings; periodic review via UNSW Risk Framework; escalate emerging high risks.</t>
        </is>
      </c>
    </row>
    <row r="29"/>
    <row r="30" ht="60" customHeight="1">
      <c r="B30" s="20" t="n">
        <v>13</v>
      </c>
      <c r="C30" s="20" t="inlineStr">
        <is>
          <t>Clinical evidence or policy changes over 5 years.</t>
        </is>
      </c>
      <c r="D30" s="20" t="inlineStr">
        <is>
          <t>Outdated/inconsistent information resources.</t>
        </is>
      </c>
      <c r="E30" s="20" t="inlineStr">
        <is>
          <t>Consortium includes leading hospitals and researchers.</t>
        </is>
      </c>
      <c r="F30" s="20" t="inlineStr">
        <is>
          <t>Possible</t>
        </is>
      </c>
      <c r="G30" s="20" t="inlineStr">
        <is>
          <t>Moderate</t>
        </is>
      </c>
      <c r="H30" s="41" t="inlineStr">
        <is>
          <t>Medium</t>
        </is>
      </c>
      <c r="I30" s="20" t="inlineStr">
        <is>
          <t>Acceptable</t>
        </is>
      </c>
      <c r="J30" s="20" t="inlineStr">
        <is>
          <t>Annual evidence reviews; monitor guideline changes; documented review/approval; version control.</t>
        </is>
      </c>
    </row>
    <row r="31"/>
    <row r="32" ht="60" customHeight="1">
      <c r="B32" s="20" t="n">
        <v>14</v>
      </c>
      <c r="C32" s="20" t="inlineStr">
        <is>
          <t>Awareness and uptake lower than anticipated.</t>
        </is>
      </c>
      <c r="D32" s="20" t="inlineStr">
        <is>
          <t>Reduced reach, fewer participants benefiting.</t>
        </is>
      </c>
      <c r="E32" s="20" t="inlineStr">
        <is>
          <t>Consortium partners provide established networks.</t>
        </is>
      </c>
      <c r="F32" s="20" t="inlineStr">
        <is>
          <t>Possible</t>
        </is>
      </c>
      <c r="G32" s="20" t="inlineStr">
        <is>
          <t>Moderate</t>
        </is>
      </c>
      <c r="H32" s="41" t="inlineStr">
        <is>
          <t>Medium</t>
        </is>
      </c>
      <c r="I32" s="20" t="inlineStr">
        <is>
          <t>Acceptable</t>
        </is>
      </c>
      <c r="J32" s="20" t="inlineStr">
        <is>
          <t>National comms strategy; monitor utilisation quarterly; adapt outreach to priority audiences.</t>
        </is>
      </c>
    </row>
    <row r="33"/>
    <row r="34">
      <c r="B34" s="42" t="inlineStr">
        <is>
          <t>NEW — AI-Related Risks</t>
        </is>
      </c>
      <c r="C34" s="36" t="n"/>
      <c r="D34" s="36" t="n"/>
      <c r="E34" s="36" t="n"/>
      <c r="F34" s="36" t="n"/>
      <c r="G34" s="36" t="n"/>
      <c r="H34" s="36" t="n"/>
      <c r="I34" s="36" t="n"/>
      <c r="J34" s="37" t="n"/>
    </row>
    <row r="35" ht="60" customHeight="1">
      <c r="B35" s="43" t="n">
        <v>15</v>
      </c>
      <c r="C35" s="43" t="inlineStr">
        <is>
          <t>AI system produces inaccurate or misleading health/disability information.</t>
        </is>
      </c>
      <c r="D35" s="43" t="inlineStr">
        <is>
          <t>Harm to families; loss of trust; reputational/legal risk.</t>
        </is>
      </c>
      <c r="E35" s="43" t="inlineStr">
        <is>
          <t>Closed-corpus retrieval only; confidence thresholds; mandatory source citations.</t>
        </is>
      </c>
      <c r="F35" s="43" t="inlineStr">
        <is>
          <t>Possible</t>
        </is>
      </c>
      <c r="G35" s="43" t="inlineStr">
        <is>
          <t>Major</t>
        </is>
      </c>
      <c r="H35" s="40" t="inlineStr">
        <is>
          <t>High</t>
        </is>
      </c>
      <c r="I35" s="43" t="inlineStr">
        <is>
          <t>Acceptable</t>
        </is>
      </c>
      <c r="J35" s="43" t="inlineStr">
        <is>
          <t>Closed-corpus RAG only (no open generation); confidence thresholds escalate to human; regular accuracy audits; user feedback loop.</t>
        </is>
      </c>
    </row>
    <row r="36" ht="60" customHeight="1">
      <c r="B36" s="43" t="n">
        <v>16</v>
      </c>
      <c r="C36" s="43" t="inlineStr">
        <is>
          <t>Community resistance to AI in disability services.</t>
        </is>
      </c>
      <c r="D36" s="43" t="inlineStr">
        <is>
          <t>Low adoption; reputational risk; undermines co-design.</t>
        </is>
      </c>
      <c r="E36" s="43" t="inlineStr">
        <is>
          <t>Co-design with lived experience advisory from outset.</t>
        </is>
      </c>
      <c r="F36" s="43" t="inlineStr">
        <is>
          <t>Possible</t>
        </is>
      </c>
      <c r="G36" s="43" t="inlineStr">
        <is>
          <t>Moderate</t>
        </is>
      </c>
      <c r="H36" s="41" t="inlineStr">
        <is>
          <t>Medium</t>
        </is>
      </c>
      <c r="I36" s="43" t="inlineStr">
        <is>
          <t>Acceptable</t>
        </is>
      </c>
      <c r="J36" s="43" t="inlineStr">
        <is>
          <t>Transparent about AI role; always clear route to human; opt-out available; test with families before launch.</t>
        </is>
      </c>
    </row>
    <row r="37" ht="60" customHeight="1">
      <c r="B37" s="43" t="n">
        <v>17</v>
      </c>
      <c r="C37" s="43" t="inlineStr">
        <is>
          <t>AI vendor dependency or cost escalation.</t>
        </is>
      </c>
      <c r="D37" s="43" t="inlineStr">
        <is>
          <t>Budget overrun; service continuity risk post-grant.</t>
        </is>
      </c>
      <c r="E37" s="43" t="inlineStr">
        <is>
          <t>Portable architecture; no single-vendor lock-in.</t>
        </is>
      </c>
      <c r="F37" s="43" t="inlineStr">
        <is>
          <t>Unlikely</t>
        </is>
      </c>
      <c r="G37" s="43" t="inlineStr">
        <is>
          <t>Moderate</t>
        </is>
      </c>
      <c r="H37" s="41" t="inlineStr">
        <is>
          <t>Medium</t>
        </is>
      </c>
      <c r="I37" s="43" t="inlineStr">
        <is>
          <t>Acceptable</t>
        </is>
      </c>
      <c r="J37" s="43" t="inlineStr">
        <is>
          <t>Consortium owns corpus/data/IP; portable design; cost caps in contracts; open-source alternatives identified.</t>
        </is>
      </c>
    </row>
    <row r="38" ht="60" customHeight="1">
      <c r="B38" s="43" t="n">
        <v>18</v>
      </c>
      <c r="C38" s="43" t="inlineStr">
        <is>
          <t>Privacy/data protection in AI processing.</t>
        </is>
      </c>
      <c r="D38" s="43" t="inlineStr">
        <is>
          <t>Breach of participant privacy; legal consequences.</t>
        </is>
      </c>
      <c r="E38" s="43" t="inlineStr">
        <is>
          <t>Privacy by design; no PII in model training; UNSW privacy framework.</t>
        </is>
      </c>
      <c r="F38" s="43" t="inlineStr">
        <is>
          <t>Possible</t>
        </is>
      </c>
      <c r="G38" s="43" t="inlineStr">
        <is>
          <t>Major</t>
        </is>
      </c>
      <c r="H38" s="40" t="inlineStr">
        <is>
          <t>High</t>
        </is>
      </c>
      <c r="I38" s="43" t="inlineStr">
        <is>
          <t>Acceptable</t>
        </is>
      </c>
      <c r="J38" s="43" t="inlineStr">
        <is>
          <t>Australian data residency; no PII in prompts/training; audit logging; role-based access; annual privacy review.</t>
        </is>
      </c>
    </row>
    <row r="39" ht="60" customHeight="1">
      <c r="B39" s="43" t="n">
        <v>19</v>
      </c>
      <c r="C39" s="43" t="inlineStr">
        <is>
          <t>AI accessibility not meeting WCAG for users with disability.</t>
        </is>
      </c>
      <c r="D39" s="43" t="inlineStr">
        <is>
          <t>Excludes target population; undermines grant purpose.</t>
        </is>
      </c>
      <c r="E39" s="43" t="inlineStr">
        <is>
          <t>Accessibility engineering from build phase.</t>
        </is>
      </c>
      <c r="F39" s="43" t="inlineStr">
        <is>
          <t>Possible</t>
        </is>
      </c>
      <c r="G39" s="43" t="inlineStr">
        <is>
          <t>Moderate</t>
        </is>
      </c>
      <c r="H39" s="41" t="inlineStr">
        <is>
          <t>Medium</t>
        </is>
      </c>
      <c r="I39" s="43" t="inlineStr">
        <is>
          <t>Acceptable</t>
        </is>
      </c>
      <c r="J39" s="43" t="inlineStr">
        <is>
          <t>WCAG engineering from build; user testing with people with disability; screen reader compatibility; Easy Read interface.</t>
        </is>
      </c>
    </row>
  </sheetData>
  <mergeCells count="5">
    <mergeCell ref="F3:J3"/>
    <mergeCell ref="B34:J34"/>
    <mergeCell ref="B3:C3"/>
    <mergeCell ref="B1:J1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2026-06-30T04:03:22Z</dcterms:created>
  <dcterms:modified xsi:type="dcterms:W3CDTF">2026-06-30T04:03:22Z</dcterms:modified>
</cp:coreProperties>
</file>